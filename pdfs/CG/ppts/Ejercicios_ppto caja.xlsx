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esor.ACAD\Documents\"/>
    </mc:Choice>
  </mc:AlternateContent>
  <xr:revisionPtr revIDLastSave="0" documentId="13_ncr:1_{7202B49A-2872-4473-B8EC-52931D99FF0F}" xr6:coauthVersionLast="47" xr6:coauthVersionMax="47" xr10:uidLastSave="{00000000-0000-0000-0000-000000000000}"/>
  <bookViews>
    <workbookView xWindow="-120" yWindow="-120" windowWidth="19440" windowHeight="14880" activeTab="2" xr2:uid="{582AE223-5B01-4B05-B15B-146354A2BBC9}"/>
  </bookViews>
  <sheets>
    <sheet name="1" sheetId="1" r:id="rId1"/>
    <sheet name="2" sheetId="2" r:id="rId2"/>
    <sheet name="3" sheetId="3" r:id="rId3"/>
    <sheet name="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4" i="3" l="1"/>
  <c r="P43" i="3"/>
  <c r="P42" i="3"/>
  <c r="P41" i="3"/>
  <c r="N44" i="3"/>
  <c r="N43" i="3"/>
  <c r="N42" i="3"/>
  <c r="H44" i="3"/>
  <c r="H43" i="3"/>
  <c r="H42" i="3"/>
  <c r="H41" i="3"/>
  <c r="F44" i="3"/>
  <c r="F43" i="3"/>
  <c r="F42" i="3"/>
  <c r="H38" i="3"/>
  <c r="H36" i="3"/>
  <c r="I36" i="3"/>
  <c r="J36" i="3"/>
  <c r="K36" i="3"/>
  <c r="L36" i="3"/>
  <c r="M36" i="3"/>
  <c r="N36" i="3"/>
  <c r="O36" i="3"/>
  <c r="P36" i="3"/>
  <c r="Q36" i="3"/>
  <c r="R36" i="3"/>
  <c r="H34" i="3"/>
  <c r="J34" i="3"/>
  <c r="K34" i="3"/>
  <c r="L34" i="3"/>
  <c r="M34" i="3"/>
  <c r="N34" i="3"/>
  <c r="O34" i="3"/>
  <c r="P34" i="3"/>
  <c r="Q34" i="3"/>
  <c r="R34" i="3"/>
  <c r="H35" i="3"/>
  <c r="I35" i="3"/>
  <c r="J35" i="3"/>
  <c r="K35" i="3"/>
  <c r="L35" i="3"/>
  <c r="M35" i="3"/>
  <c r="N35" i="3"/>
  <c r="O35" i="3"/>
  <c r="P35" i="3"/>
  <c r="Q35" i="3"/>
  <c r="R35" i="3"/>
  <c r="I37" i="3"/>
  <c r="J37" i="3"/>
  <c r="K37" i="3"/>
  <c r="L37" i="3"/>
  <c r="M37" i="3" s="1"/>
  <c r="N37" i="3" s="1"/>
  <c r="O37" i="3" s="1"/>
  <c r="P37" i="3" s="1"/>
  <c r="Q37" i="3" s="1"/>
  <c r="R37" i="3" s="1"/>
  <c r="H37" i="3"/>
  <c r="I33" i="3"/>
  <c r="H33" i="3"/>
  <c r="G38" i="3"/>
  <c r="G36" i="3"/>
  <c r="G35" i="3"/>
  <c r="G34" i="3"/>
  <c r="Q29" i="3"/>
  <c r="I27" i="3"/>
  <c r="K27" i="3"/>
  <c r="P27" i="3"/>
  <c r="P28" i="3" s="1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E26" i="3"/>
  <c r="D26" i="3"/>
  <c r="D23" i="3"/>
  <c r="E23" i="3"/>
  <c r="H22" i="3"/>
  <c r="I22" i="3" s="1"/>
  <c r="J22" i="3" s="1"/>
  <c r="K22" i="3" s="1"/>
  <c r="L22" i="3" s="1"/>
  <c r="M22" i="3" s="1"/>
  <c r="N22" i="3" s="1"/>
  <c r="O22" i="3" s="1"/>
  <c r="P22" i="3" s="1"/>
  <c r="Q22" i="3" s="1"/>
  <c r="R22" i="3" s="1"/>
  <c r="G6" i="3"/>
  <c r="G7" i="3" s="1"/>
  <c r="H6" i="3"/>
  <c r="H7" i="3" s="1"/>
  <c r="I6" i="3"/>
  <c r="I7" i="3" s="1"/>
  <c r="J6" i="3"/>
  <c r="J7" i="3" s="1"/>
  <c r="K6" i="3"/>
  <c r="K7" i="3" s="1"/>
  <c r="L6" i="3"/>
  <c r="L7" i="3" s="1"/>
  <c r="M6" i="3"/>
  <c r="N8" i="3" s="1"/>
  <c r="N6" i="3"/>
  <c r="O8" i="3" s="1"/>
  <c r="O6" i="3"/>
  <c r="Q9" i="3" s="1"/>
  <c r="P6" i="3"/>
  <c r="R9" i="3" s="1"/>
  <c r="Q6" i="3"/>
  <c r="R8" i="3" s="1"/>
  <c r="R6" i="3"/>
  <c r="R7" i="3" s="1"/>
  <c r="R11" i="3" s="1"/>
  <c r="F6" i="3"/>
  <c r="G8" i="3" s="1"/>
  <c r="E6" i="3"/>
  <c r="F8" i="3" s="1"/>
  <c r="D6" i="3"/>
  <c r="F9" i="3" s="1"/>
  <c r="G5" i="3"/>
  <c r="H5" i="3"/>
  <c r="I5" i="3"/>
  <c r="J5" i="3"/>
  <c r="K5" i="3"/>
  <c r="L5" i="3"/>
  <c r="M5" i="3"/>
  <c r="N5" i="3"/>
  <c r="O5" i="3"/>
  <c r="P5" i="3"/>
  <c r="Q5" i="3"/>
  <c r="R5" i="3"/>
  <c r="F5" i="3"/>
  <c r="E5" i="3"/>
  <c r="D5" i="3"/>
  <c r="G15" i="3"/>
  <c r="H16" i="3" s="1"/>
  <c r="H15" i="3"/>
  <c r="I16" i="3" s="1"/>
  <c r="I15" i="3"/>
  <c r="J16" i="3" s="1"/>
  <c r="J15" i="3"/>
  <c r="K16" i="3" s="1"/>
  <c r="K15" i="3"/>
  <c r="L16" i="3" s="1"/>
  <c r="L15" i="3"/>
  <c r="M16" i="3" s="1"/>
  <c r="M15" i="3"/>
  <c r="N16" i="3" s="1"/>
  <c r="N15" i="3"/>
  <c r="O16" i="3" s="1"/>
  <c r="O15" i="3"/>
  <c r="P16" i="3" s="1"/>
  <c r="P15" i="3"/>
  <c r="Q16" i="3" s="1"/>
  <c r="Q15" i="3"/>
  <c r="R16" i="3" s="1"/>
  <c r="R15" i="3"/>
  <c r="R27" i="3" s="1"/>
  <c r="R28" i="3" s="1"/>
  <c r="F15" i="3"/>
  <c r="G16" i="3" s="1"/>
  <c r="G23" i="3" s="1"/>
  <c r="E15" i="3"/>
  <c r="F16" i="3" s="1"/>
  <c r="F23" i="3" s="1"/>
  <c r="D15" i="3"/>
  <c r="E16" i="3" s="1"/>
  <c r="H3" i="3"/>
  <c r="I3" i="3" s="1"/>
  <c r="J3" i="3" s="1"/>
  <c r="K3" i="3" s="1"/>
  <c r="L3" i="3" s="1"/>
  <c r="M3" i="3" s="1"/>
  <c r="N3" i="3" s="1"/>
  <c r="O3" i="3" s="1"/>
  <c r="P3" i="3" s="1"/>
  <c r="Q3" i="3" s="1"/>
  <c r="R3" i="3" s="1"/>
  <c r="I30" i="2"/>
  <c r="I33" i="2" s="1"/>
  <c r="J29" i="2" s="1"/>
  <c r="J33" i="2" s="1"/>
  <c r="K29" i="2" s="1"/>
  <c r="K33" i="2" s="1"/>
  <c r="L29" i="2" s="1"/>
  <c r="L33" i="2" s="1"/>
  <c r="M29" i="2" s="1"/>
  <c r="M33" i="2" s="1"/>
  <c r="N29" i="2" s="1"/>
  <c r="N33" i="2" s="1"/>
  <c r="O29" i="2" s="1"/>
  <c r="O33" i="2" s="1"/>
  <c r="P29" i="2" s="1"/>
  <c r="P33" i="2" s="1"/>
  <c r="Q29" i="2" s="1"/>
  <c r="Q33" i="2" s="1"/>
  <c r="R29" i="2" s="1"/>
  <c r="R33" i="2" s="1"/>
  <c r="J30" i="2"/>
  <c r="K30" i="2"/>
  <c r="L30" i="2"/>
  <c r="M30" i="2"/>
  <c r="N30" i="2"/>
  <c r="O30" i="2"/>
  <c r="P30" i="2"/>
  <c r="Q30" i="2"/>
  <c r="R30" i="2"/>
  <c r="I31" i="2"/>
  <c r="J31" i="2"/>
  <c r="K31" i="2"/>
  <c r="L31" i="2"/>
  <c r="M31" i="2"/>
  <c r="N31" i="2"/>
  <c r="O31" i="2"/>
  <c r="P31" i="2"/>
  <c r="Q31" i="2"/>
  <c r="R31" i="2"/>
  <c r="I29" i="2"/>
  <c r="H33" i="2"/>
  <c r="H31" i="2"/>
  <c r="H30" i="2"/>
  <c r="H29" i="2"/>
  <c r="G33" i="2"/>
  <c r="G31" i="2"/>
  <c r="G30" i="2"/>
  <c r="I32" i="2"/>
  <c r="J32" i="2" s="1"/>
  <c r="K32" i="2" s="1"/>
  <c r="L32" i="2" s="1"/>
  <c r="M32" i="2" s="1"/>
  <c r="N32" i="2" s="1"/>
  <c r="O32" i="2" s="1"/>
  <c r="P32" i="2" s="1"/>
  <c r="Q32" i="2" s="1"/>
  <c r="R32" i="2" s="1"/>
  <c r="H32" i="2"/>
  <c r="H26" i="2"/>
  <c r="I26" i="2"/>
  <c r="J26" i="2"/>
  <c r="K26" i="2"/>
  <c r="L26" i="2"/>
  <c r="M26" i="2"/>
  <c r="N26" i="2"/>
  <c r="O26" i="2"/>
  <c r="P26" i="2"/>
  <c r="Q26" i="2"/>
  <c r="R26" i="2"/>
  <c r="G26" i="2"/>
  <c r="I25" i="2"/>
  <c r="J25" i="2"/>
  <c r="K25" i="2"/>
  <c r="L25" i="2" s="1"/>
  <c r="M25" i="2" s="1"/>
  <c r="N25" i="2" s="1"/>
  <c r="O25" i="2" s="1"/>
  <c r="P25" i="2" s="1"/>
  <c r="Q25" i="2" s="1"/>
  <c r="R25" i="2" s="1"/>
  <c r="H25" i="2"/>
  <c r="G19" i="2"/>
  <c r="H19" i="2"/>
  <c r="I19" i="2"/>
  <c r="J19" i="2"/>
  <c r="K19" i="2"/>
  <c r="L19" i="2"/>
  <c r="M19" i="2"/>
  <c r="N19" i="2"/>
  <c r="O19" i="2"/>
  <c r="P19" i="2"/>
  <c r="Q19" i="2"/>
  <c r="R19" i="2"/>
  <c r="F19" i="2"/>
  <c r="E19" i="2"/>
  <c r="D19" i="2"/>
  <c r="G18" i="2"/>
  <c r="H18" i="2"/>
  <c r="I18" i="2"/>
  <c r="J18" i="2"/>
  <c r="K18" i="2"/>
  <c r="L18" i="2"/>
  <c r="M18" i="2"/>
  <c r="N18" i="2"/>
  <c r="O18" i="2"/>
  <c r="P18" i="2"/>
  <c r="Q18" i="2"/>
  <c r="R18" i="2"/>
  <c r="F18" i="2"/>
  <c r="E18" i="2"/>
  <c r="D18" i="2"/>
  <c r="H17" i="2"/>
  <c r="I17" i="2"/>
  <c r="J17" i="2"/>
  <c r="K17" i="2"/>
  <c r="L17" i="2"/>
  <c r="M17" i="2"/>
  <c r="N17" i="2"/>
  <c r="O17" i="2"/>
  <c r="P17" i="2"/>
  <c r="Q17" i="2"/>
  <c r="R17" i="2"/>
  <c r="G17" i="2"/>
  <c r="F17" i="2"/>
  <c r="E17" i="2"/>
  <c r="D17" i="2"/>
  <c r="H13" i="2"/>
  <c r="I13" i="2"/>
  <c r="J13" i="2"/>
  <c r="K13" i="2"/>
  <c r="L13" i="2"/>
  <c r="M13" i="2"/>
  <c r="N13" i="2"/>
  <c r="O13" i="2"/>
  <c r="P13" i="2"/>
  <c r="Q13" i="2"/>
  <c r="R13" i="2"/>
  <c r="G13" i="2"/>
  <c r="G9" i="2"/>
  <c r="H9" i="2"/>
  <c r="I9" i="2"/>
  <c r="J9" i="2"/>
  <c r="K9" i="2"/>
  <c r="L9" i="2"/>
  <c r="M9" i="2"/>
  <c r="N9" i="2"/>
  <c r="O9" i="2"/>
  <c r="P9" i="2"/>
  <c r="Q9" i="2"/>
  <c r="R9" i="2"/>
  <c r="S9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F11" i="2"/>
  <c r="F10" i="2"/>
  <c r="F9" i="2"/>
  <c r="E10" i="2"/>
  <c r="E9" i="2"/>
  <c r="D9" i="2"/>
  <c r="H7" i="2"/>
  <c r="I7" i="2"/>
  <c r="J7" i="2"/>
  <c r="K7" i="2"/>
  <c r="L7" i="2"/>
  <c r="M7" i="2"/>
  <c r="N7" i="2"/>
  <c r="O7" i="2"/>
  <c r="P7" i="2"/>
  <c r="Q7" i="2"/>
  <c r="R7" i="2"/>
  <c r="S7" i="2"/>
  <c r="G7" i="2"/>
  <c r="F7" i="2"/>
  <c r="E7" i="2"/>
  <c r="D7" i="2"/>
  <c r="H6" i="2"/>
  <c r="I6" i="2"/>
  <c r="J6" i="2"/>
  <c r="K6" i="2"/>
  <c r="L6" i="2"/>
  <c r="M6" i="2"/>
  <c r="N6" i="2"/>
  <c r="O6" i="2"/>
  <c r="P6" i="2"/>
  <c r="Q6" i="2"/>
  <c r="R6" i="2"/>
  <c r="S6" i="2"/>
  <c r="G6" i="2"/>
  <c r="F6" i="2"/>
  <c r="E6" i="2"/>
  <c r="D6" i="2"/>
  <c r="G8" i="2"/>
  <c r="H8" i="2"/>
  <c r="I8" i="2"/>
  <c r="J8" i="2"/>
  <c r="K8" i="2"/>
  <c r="L8" i="2"/>
  <c r="M8" i="2"/>
  <c r="N8" i="2"/>
  <c r="O8" i="2"/>
  <c r="P8" i="2"/>
  <c r="Q8" i="2"/>
  <c r="R8" i="2"/>
  <c r="S8" i="2"/>
  <c r="F8" i="2"/>
  <c r="E8" i="2"/>
  <c r="D8" i="2"/>
  <c r="G5" i="2"/>
  <c r="H5" i="2"/>
  <c r="I5" i="2"/>
  <c r="J5" i="2"/>
  <c r="K5" i="2"/>
  <c r="L5" i="2"/>
  <c r="M5" i="2"/>
  <c r="N5" i="2"/>
  <c r="O5" i="2"/>
  <c r="P5" i="2"/>
  <c r="Q5" i="2"/>
  <c r="R5" i="2"/>
  <c r="S5" i="2"/>
  <c r="F5" i="2"/>
  <c r="E5" i="2"/>
  <c r="D5" i="2"/>
  <c r="Q3" i="2"/>
  <c r="R3" i="2" s="1"/>
  <c r="I3" i="2"/>
  <c r="J3" i="2" s="1"/>
  <c r="K3" i="2" s="1"/>
  <c r="L3" i="2" s="1"/>
  <c r="M3" i="2" s="1"/>
  <c r="N3" i="2" s="1"/>
  <c r="O3" i="2" s="1"/>
  <c r="P3" i="2" s="1"/>
  <c r="H3" i="2"/>
  <c r="F3" i="2"/>
  <c r="E3" i="2"/>
  <c r="H27" i="1"/>
  <c r="G27" i="1"/>
  <c r="G31" i="1"/>
  <c r="H31" i="1"/>
  <c r="F31" i="1"/>
  <c r="F27" i="1"/>
  <c r="E31" i="1"/>
  <c r="G28" i="1"/>
  <c r="H28" i="1"/>
  <c r="G29" i="1"/>
  <c r="H29" i="1"/>
  <c r="F29" i="1"/>
  <c r="F28" i="1"/>
  <c r="E29" i="1"/>
  <c r="E28" i="1"/>
  <c r="F24" i="1"/>
  <c r="G24" i="1"/>
  <c r="H24" i="1"/>
  <c r="E24" i="1"/>
  <c r="G23" i="1"/>
  <c r="H23" i="1" s="1"/>
  <c r="F23" i="1"/>
  <c r="E23" i="1"/>
  <c r="H19" i="1"/>
  <c r="G19" i="1"/>
  <c r="F19" i="1"/>
  <c r="E19" i="1"/>
  <c r="G18" i="1"/>
  <c r="F18" i="1"/>
  <c r="E18" i="1"/>
  <c r="D18" i="1"/>
  <c r="F15" i="1"/>
  <c r="G15" i="1"/>
  <c r="H15" i="1"/>
  <c r="E15" i="1"/>
  <c r="G11" i="1"/>
  <c r="H11" i="1"/>
  <c r="F11" i="1"/>
  <c r="E11" i="1"/>
  <c r="H10" i="1"/>
  <c r="G10" i="1"/>
  <c r="F10" i="1"/>
  <c r="E10" i="1"/>
  <c r="D10" i="1"/>
  <c r="F8" i="1"/>
  <c r="G8" i="1"/>
  <c r="H8" i="1"/>
  <c r="E8" i="1"/>
  <c r="D8" i="1"/>
  <c r="F7" i="1"/>
  <c r="G7" i="1"/>
  <c r="H7" i="1"/>
  <c r="E7" i="1"/>
  <c r="D7" i="1"/>
  <c r="E9" i="1"/>
  <c r="F9" i="1"/>
  <c r="G9" i="1"/>
  <c r="H9" i="1"/>
  <c r="D9" i="1"/>
  <c r="F6" i="1"/>
  <c r="G6" i="1"/>
  <c r="H6" i="1"/>
  <c r="E6" i="1"/>
  <c r="D6" i="1"/>
  <c r="M28" i="3" l="1"/>
  <c r="N29" i="3" s="1"/>
  <c r="I28" i="3"/>
  <c r="J29" i="3" s="1"/>
  <c r="L28" i="3"/>
  <c r="M29" i="3" s="1"/>
  <c r="K28" i="3"/>
  <c r="L29" i="3" s="1"/>
  <c r="O27" i="3"/>
  <c r="O28" i="3" s="1"/>
  <c r="P29" i="3" s="1"/>
  <c r="M27" i="3"/>
  <c r="L27" i="3"/>
  <c r="G28" i="3"/>
  <c r="H29" i="3" s="1"/>
  <c r="N27" i="3"/>
  <c r="N28" i="3" s="1"/>
  <c r="O29" i="3" s="1"/>
  <c r="H27" i="3"/>
  <c r="H28" i="3" s="1"/>
  <c r="I29" i="3" s="1"/>
  <c r="N9" i="3"/>
  <c r="D27" i="3"/>
  <c r="D28" i="3" s="1"/>
  <c r="E29" i="3" s="1"/>
  <c r="G27" i="3"/>
  <c r="P7" i="3"/>
  <c r="E27" i="3"/>
  <c r="E28" i="3" s="1"/>
  <c r="F29" i="3" s="1"/>
  <c r="F27" i="3"/>
  <c r="F28" i="3" s="1"/>
  <c r="G29" i="3" s="1"/>
  <c r="J27" i="3"/>
  <c r="J28" i="3" s="1"/>
  <c r="K29" i="3" s="1"/>
  <c r="Q27" i="3"/>
  <c r="Q28" i="3" s="1"/>
  <c r="H23" i="3"/>
  <c r="O9" i="3"/>
  <c r="M8" i="3"/>
  <c r="I23" i="3"/>
  <c r="N7" i="3"/>
  <c r="N11" i="3" s="1"/>
  <c r="M7" i="3"/>
  <c r="M11" i="3" s="1"/>
  <c r="K23" i="3"/>
  <c r="J23" i="3"/>
  <c r="P9" i="3"/>
  <c r="O7" i="3"/>
  <c r="H9" i="3"/>
  <c r="Q8" i="3"/>
  <c r="R23" i="3"/>
  <c r="P8" i="3"/>
  <c r="Q23" i="3"/>
  <c r="P23" i="3"/>
  <c r="O23" i="3"/>
  <c r="H8" i="3"/>
  <c r="H11" i="3" s="1"/>
  <c r="M23" i="3"/>
  <c r="F7" i="3"/>
  <c r="F11" i="3" s="1"/>
  <c r="Q7" i="3"/>
  <c r="L23" i="3"/>
  <c r="M9" i="3"/>
  <c r="D7" i="3"/>
  <c r="D11" i="3" s="1"/>
  <c r="L9" i="3"/>
  <c r="L8" i="3"/>
  <c r="E7" i="3"/>
  <c r="E11" i="3" s="1"/>
  <c r="K9" i="3"/>
  <c r="K8" i="3"/>
  <c r="K11" i="3" s="1"/>
  <c r="J9" i="3"/>
  <c r="J8" i="3"/>
  <c r="E8" i="3"/>
  <c r="I9" i="3"/>
  <c r="I8" i="3"/>
  <c r="I11" i="3" s="1"/>
  <c r="I34" i="3" s="1"/>
  <c r="I38" i="3" s="1"/>
  <c r="J33" i="3" s="1"/>
  <c r="J38" i="3" s="1"/>
  <c r="K33" i="3" s="1"/>
  <c r="K38" i="3" s="1"/>
  <c r="L33" i="3" s="1"/>
  <c r="L38" i="3" s="1"/>
  <c r="M33" i="3" s="1"/>
  <c r="M38" i="3" s="1"/>
  <c r="N33" i="3" s="1"/>
  <c r="N38" i="3" s="1"/>
  <c r="O33" i="3" s="1"/>
  <c r="O38" i="3" s="1"/>
  <c r="P33" i="3" s="1"/>
  <c r="P38" i="3" s="1"/>
  <c r="Q33" i="3" s="1"/>
  <c r="Q38" i="3" s="1"/>
  <c r="R33" i="3" s="1"/>
  <c r="R38" i="3" s="1"/>
  <c r="N23" i="3"/>
  <c r="G9" i="3"/>
  <c r="G11" i="3" s="1"/>
  <c r="L11" i="3" l="1"/>
  <c r="J11" i="3"/>
  <c r="O11" i="3"/>
  <c r="P11" i="3"/>
  <c r="Q11" i="3"/>
</calcChain>
</file>

<file path=xl/sharedStrings.xml><?xml version="1.0" encoding="utf-8"?>
<sst xmlns="http://schemas.openxmlformats.org/spreadsheetml/2006/main" count="99" uniqueCount="42">
  <si>
    <t>INGRESOS</t>
  </si>
  <si>
    <t>VENTAS</t>
  </si>
  <si>
    <t>CONTADO</t>
  </si>
  <si>
    <t>CREDITO</t>
  </si>
  <si>
    <t>DSCTO</t>
  </si>
  <si>
    <t>COBRO CONTADO</t>
  </si>
  <si>
    <t>COBRO</t>
  </si>
  <si>
    <t>COBRO CXC DIV</t>
  </si>
  <si>
    <t>VENTA A.F.</t>
  </si>
  <si>
    <t>COBRO A.F</t>
  </si>
  <si>
    <t>TOTAL</t>
  </si>
  <si>
    <t>EGRESOS</t>
  </si>
  <si>
    <t>COMPRA</t>
  </si>
  <si>
    <t>PAGO</t>
  </si>
  <si>
    <t>PLANILLAS</t>
  </si>
  <si>
    <t>INTERES</t>
  </si>
  <si>
    <t>IR</t>
  </si>
  <si>
    <t>ALQUILER</t>
  </si>
  <si>
    <t>RESUMEN</t>
  </si>
  <si>
    <t>SALDO INICIAL</t>
  </si>
  <si>
    <t>INGRESO</t>
  </si>
  <si>
    <t xml:space="preserve"> EGRESO</t>
  </si>
  <si>
    <t xml:space="preserve"> CAJA MINIMA</t>
  </si>
  <si>
    <t>SALDO FINAL</t>
  </si>
  <si>
    <t>PRESTAMO</t>
  </si>
  <si>
    <t>COMPRAS</t>
  </si>
  <si>
    <t>COMPRA AF.</t>
  </si>
  <si>
    <t>PAGO AF.</t>
  </si>
  <si>
    <t>PRESTAMO HIPOT</t>
  </si>
  <si>
    <t>SALDO INIC</t>
  </si>
  <si>
    <t>CAJA MINIMA</t>
  </si>
  <si>
    <t>IGV</t>
  </si>
  <si>
    <t>RESULTADO</t>
  </si>
  <si>
    <t>CUENTAS X COBRAR</t>
  </si>
  <si>
    <t>COBROS</t>
  </si>
  <si>
    <t>INV. INICI</t>
  </si>
  <si>
    <t>INICIAL 23</t>
  </si>
  <si>
    <t>FINAL 23</t>
  </si>
  <si>
    <t>CUENTAS X PAGAR</t>
  </si>
  <si>
    <t>PAGOS</t>
  </si>
  <si>
    <t>SALD. FINAL</t>
  </si>
  <si>
    <t>SALDO.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</si>
</sst>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164" fontId="0" fillId="0" borderId="0" xfId="1" applyNumberFormat="1" applyFont="1"/>
    <xf numFmtId="9" fontId="0" fillId="0" borderId="0" xfId="0" applyNumberFormat="1"/>
    <xf numFmtId="0" fontId="3" fillId="0" borderId="0" xfId="0" applyFont="1"/>
    <xf numFmtId="9" fontId="3" fillId="0" borderId="0" xfId="0" applyNumberFormat="1" applyFont="1"/>
    <xf numFmtId="164" fontId="3" fillId="0" borderId="0" xfId="1" applyNumberFormat="1" applyFont="1"/>
    <xf numFmtId="0" fontId="2" fillId="0" borderId="0" xfId="0" applyFont="1"/>
    <xf numFmtId="0" fontId="4" fillId="0" borderId="0" xfId="0" applyFont="1"/>
    <xf numFmtId="164" fontId="2" fillId="0" borderId="0" xfId="1" applyNumberFormat="1" applyFont="1"/>
    <xf numFmtId="164" fontId="2" fillId="0" borderId="0" xfId="0" applyNumberFormat="1" applyFont="1"/>
    <xf numFmtId="43" fontId="2" fillId="0" borderId="0" xfId="1" applyFont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1" applyNumberFormat="1" applyFont="1"/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1" applyNumberFormat="1" applyFont="1"/>
    <xf numFmtId="0" fontId="5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9" fontId="5" fillId="0" borderId="0" xfId="0" applyNumberFormat="1" applyFont="1" applyAlignment="1">
      <alignment horizontal="center"/>
    </xf>
    <xf numFmtId="164" fontId="5" fillId="0" borderId="0" xfId="0" applyNumberFormat="1" applyFont="1"/>
    <xf numFmtId="164" fontId="5" fillId="2" borderId="0" xfId="0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68F8-20FC-4727-B3AF-800E606B6AFD}">
  <dimension ref="B3:I35"/>
  <sheetViews>
    <sheetView topLeftCell="A4" zoomScale="110" zoomScaleNormal="110" workbookViewId="0">
      <selection activeCell="E36" sqref="E36"/>
    </sheetView>
  </sheetViews>
  <sheetFormatPr baseColWidth="10" defaultRowHeight="15" x14ac:dyDescent="0.25"/>
  <cols>
    <col min="1" max="1" width="4.42578125" customWidth="1"/>
    <col min="2" max="2" width="17" customWidth="1"/>
    <col min="3" max="3" width="6.5703125" customWidth="1"/>
  </cols>
  <sheetData>
    <row r="3" spans="2:9" x14ac:dyDescent="0.25">
      <c r="D3" s="1">
        <v>2022</v>
      </c>
      <c r="E3" s="13">
        <v>2023</v>
      </c>
      <c r="F3" s="13"/>
      <c r="G3" s="13"/>
      <c r="H3" s="13"/>
    </row>
    <row r="4" spans="2:9" x14ac:dyDescent="0.25">
      <c r="B4" s="8" t="s">
        <v>0</v>
      </c>
      <c r="D4" s="1">
        <v>4</v>
      </c>
      <c r="E4" s="1">
        <v>1</v>
      </c>
      <c r="F4" s="1">
        <v>2</v>
      </c>
      <c r="G4" s="1">
        <v>3</v>
      </c>
      <c r="H4" s="1">
        <v>4</v>
      </c>
    </row>
    <row r="5" spans="2:9" x14ac:dyDescent="0.25">
      <c r="B5" t="s">
        <v>1</v>
      </c>
      <c r="D5" s="3">
        <v>40000</v>
      </c>
      <c r="E5" s="3">
        <v>42000</v>
      </c>
      <c r="F5" s="3">
        <v>40000</v>
      </c>
      <c r="G5" s="3">
        <v>45000</v>
      </c>
      <c r="H5" s="3">
        <v>70000</v>
      </c>
    </row>
    <row r="6" spans="2:9" x14ac:dyDescent="0.25">
      <c r="B6" t="s">
        <v>2</v>
      </c>
      <c r="C6" s="4">
        <v>0.5</v>
      </c>
      <c r="D6" s="3">
        <f>+D5*C6</f>
        <v>20000</v>
      </c>
      <c r="E6" s="3">
        <f>+E5*$C$6</f>
        <v>21000</v>
      </c>
      <c r="F6" s="3">
        <f t="shared" ref="F6:H6" si="0">+F5*$C$6</f>
        <v>20000</v>
      </c>
      <c r="G6" s="3">
        <f t="shared" si="0"/>
        <v>22500</v>
      </c>
      <c r="H6" s="3">
        <f t="shared" si="0"/>
        <v>35000</v>
      </c>
    </row>
    <row r="7" spans="2:9" x14ac:dyDescent="0.25">
      <c r="B7" t="s">
        <v>4</v>
      </c>
      <c r="C7" s="4">
        <v>0.01</v>
      </c>
      <c r="D7" s="3">
        <f>+D6*C7</f>
        <v>200</v>
      </c>
      <c r="E7" s="3">
        <f>+E6*$C$7</f>
        <v>210</v>
      </c>
      <c r="F7" s="3">
        <f t="shared" ref="F7:H7" si="1">+F6*$C$7</f>
        <v>200</v>
      </c>
      <c r="G7" s="3">
        <f t="shared" si="1"/>
        <v>225</v>
      </c>
      <c r="H7" s="3">
        <f t="shared" si="1"/>
        <v>350</v>
      </c>
    </row>
    <row r="8" spans="2:9" s="5" customFormat="1" x14ac:dyDescent="0.25">
      <c r="B8" s="5" t="s">
        <v>5</v>
      </c>
      <c r="C8" s="6"/>
      <c r="D8" s="7">
        <f>+D6-D7</f>
        <v>19800</v>
      </c>
      <c r="E8" s="7">
        <f>+E6-E7</f>
        <v>20790</v>
      </c>
      <c r="F8" s="7">
        <f t="shared" ref="F8:H8" si="2">+F6-F7</f>
        <v>19800</v>
      </c>
      <c r="G8" s="7">
        <f t="shared" si="2"/>
        <v>22275</v>
      </c>
      <c r="H8" s="7">
        <f t="shared" si="2"/>
        <v>34650</v>
      </c>
    </row>
    <row r="9" spans="2:9" x14ac:dyDescent="0.25">
      <c r="B9" t="s">
        <v>3</v>
      </c>
      <c r="C9" s="4">
        <v>0.5</v>
      </c>
      <c r="D9" s="3">
        <f>+D5*$C$9</f>
        <v>20000</v>
      </c>
      <c r="E9" s="3">
        <f t="shared" ref="E9:H9" si="3">+E5*$C$9</f>
        <v>21000</v>
      </c>
      <c r="F9" s="3">
        <f t="shared" si="3"/>
        <v>20000</v>
      </c>
      <c r="G9" s="3">
        <f t="shared" si="3"/>
        <v>22500</v>
      </c>
      <c r="H9" s="3">
        <f t="shared" si="3"/>
        <v>35000</v>
      </c>
    </row>
    <row r="10" spans="2:9" s="5" customFormat="1" x14ac:dyDescent="0.25">
      <c r="B10" s="5" t="s">
        <v>6</v>
      </c>
      <c r="C10" s="6">
        <v>0.7</v>
      </c>
      <c r="D10" s="7">
        <f>+D9*C10</f>
        <v>14000</v>
      </c>
      <c r="E10" s="7">
        <f>+E9*C10</f>
        <v>14699.999999999998</v>
      </c>
      <c r="F10" s="7">
        <f>+F9*C10</f>
        <v>14000</v>
      </c>
      <c r="G10" s="7">
        <f>+G9*C10</f>
        <v>15749.999999999998</v>
      </c>
      <c r="H10" s="7">
        <f>+H9*C10</f>
        <v>24500</v>
      </c>
    </row>
    <row r="11" spans="2:9" s="5" customFormat="1" x14ac:dyDescent="0.25">
      <c r="B11" s="5" t="s">
        <v>6</v>
      </c>
      <c r="C11" s="6">
        <v>0.3</v>
      </c>
      <c r="D11" s="7"/>
      <c r="E11" s="7">
        <f>+D9*C11</f>
        <v>6000</v>
      </c>
      <c r="F11" s="7">
        <f>+E9*$C$11</f>
        <v>6300</v>
      </c>
      <c r="G11" s="7">
        <f t="shared" ref="G11:H11" si="4">+F9*$C$11</f>
        <v>6000</v>
      </c>
      <c r="H11" s="7">
        <f t="shared" si="4"/>
        <v>6750</v>
      </c>
      <c r="I11" s="7"/>
    </row>
    <row r="12" spans="2:9" s="5" customFormat="1" x14ac:dyDescent="0.25">
      <c r="B12" s="5" t="s">
        <v>7</v>
      </c>
      <c r="D12" s="7"/>
      <c r="E12" s="7"/>
      <c r="F12" s="7">
        <v>10000</v>
      </c>
      <c r="G12" s="7"/>
      <c r="H12" s="7"/>
    </row>
    <row r="13" spans="2:9" x14ac:dyDescent="0.25">
      <c r="B13" t="s">
        <v>8</v>
      </c>
      <c r="D13" s="3"/>
      <c r="E13" s="3">
        <v>5000</v>
      </c>
      <c r="F13" s="3"/>
      <c r="G13" s="3"/>
      <c r="H13" s="3"/>
    </row>
    <row r="14" spans="2:9" x14ac:dyDescent="0.25">
      <c r="B14" s="5" t="s">
        <v>9</v>
      </c>
      <c r="D14" s="3"/>
      <c r="E14" s="3"/>
      <c r="F14" s="3"/>
      <c r="G14" s="7">
        <v>5000</v>
      </c>
      <c r="H14" s="3"/>
    </row>
    <row r="15" spans="2:9" s="8" customFormat="1" x14ac:dyDescent="0.25">
      <c r="B15" s="9" t="s">
        <v>10</v>
      </c>
      <c r="D15" s="10"/>
      <c r="E15" s="10">
        <f>+E8+E10+E11+E12+E14</f>
        <v>41490</v>
      </c>
      <c r="F15" s="10">
        <f t="shared" ref="F15:H15" si="5">+F8+F10+F11+F12+F14</f>
        <v>50100</v>
      </c>
      <c r="G15" s="10">
        <f t="shared" si="5"/>
        <v>49025</v>
      </c>
      <c r="H15" s="10">
        <f t="shared" si="5"/>
        <v>65900</v>
      </c>
    </row>
    <row r="16" spans="2:9" x14ac:dyDescent="0.25">
      <c r="D16" s="3"/>
      <c r="E16" s="3"/>
      <c r="F16" s="3"/>
      <c r="G16" s="3"/>
      <c r="H16" s="3"/>
    </row>
    <row r="17" spans="2:9" x14ac:dyDescent="0.25">
      <c r="B17" s="8" t="s">
        <v>11</v>
      </c>
      <c r="D17" s="3"/>
      <c r="E17" s="13">
        <v>2023</v>
      </c>
      <c r="F17" s="13"/>
      <c r="G17" s="13"/>
      <c r="H17" s="13"/>
    </row>
    <row r="18" spans="2:9" x14ac:dyDescent="0.25">
      <c r="B18" t="s">
        <v>12</v>
      </c>
      <c r="D18" s="3">
        <f>+E5/1.5</f>
        <v>28000</v>
      </c>
      <c r="E18" s="3">
        <f>+F5/1.5</f>
        <v>26666.666666666668</v>
      </c>
      <c r="F18" s="3">
        <f>+G5/1.5</f>
        <v>30000</v>
      </c>
      <c r="G18" s="3">
        <f>+H5/1.5</f>
        <v>46666.666666666664</v>
      </c>
      <c r="H18" s="3"/>
    </row>
    <row r="19" spans="2:9" s="5" customFormat="1" x14ac:dyDescent="0.25">
      <c r="B19" s="5" t="s">
        <v>13</v>
      </c>
      <c r="D19" s="7"/>
      <c r="E19" s="7">
        <f>+D18</f>
        <v>28000</v>
      </c>
      <c r="F19" s="7">
        <f>+E18</f>
        <v>26666.666666666668</v>
      </c>
      <c r="G19" s="7">
        <f>+F18</f>
        <v>30000</v>
      </c>
      <c r="H19" s="7">
        <f>+G18</f>
        <v>46666.666666666664</v>
      </c>
    </row>
    <row r="20" spans="2:9" s="5" customFormat="1" x14ac:dyDescent="0.25">
      <c r="B20" s="5" t="s">
        <v>14</v>
      </c>
      <c r="D20" s="7"/>
      <c r="E20" s="7">
        <v>10000</v>
      </c>
      <c r="F20" s="7">
        <v>15000</v>
      </c>
      <c r="G20" s="7">
        <v>18000</v>
      </c>
      <c r="H20" s="7">
        <v>20000</v>
      </c>
    </row>
    <row r="21" spans="2:9" s="5" customFormat="1" x14ac:dyDescent="0.25">
      <c r="B21" s="5" t="s">
        <v>15</v>
      </c>
      <c r="D21" s="7"/>
      <c r="E21" s="7">
        <v>250</v>
      </c>
      <c r="F21" s="7">
        <v>250</v>
      </c>
      <c r="G21" s="7">
        <v>250</v>
      </c>
      <c r="H21" s="7">
        <v>250</v>
      </c>
    </row>
    <row r="22" spans="2:9" x14ac:dyDescent="0.25">
      <c r="B22" s="5" t="s">
        <v>16</v>
      </c>
      <c r="D22" s="3"/>
      <c r="E22" s="7"/>
      <c r="F22" s="7">
        <v>2000</v>
      </c>
      <c r="G22" s="7"/>
      <c r="H22" s="7"/>
    </row>
    <row r="23" spans="2:9" x14ac:dyDescent="0.25">
      <c r="B23" s="5" t="s">
        <v>17</v>
      </c>
      <c r="D23" s="3"/>
      <c r="E23" s="7">
        <f>350*3</f>
        <v>1050</v>
      </c>
      <c r="F23" s="7">
        <f>+E23</f>
        <v>1050</v>
      </c>
      <c r="G23" s="7">
        <f t="shared" ref="G23:H23" si="6">+F23</f>
        <v>1050</v>
      </c>
      <c r="H23" s="7">
        <f t="shared" si="6"/>
        <v>1050</v>
      </c>
    </row>
    <row r="24" spans="2:9" s="8" customFormat="1" x14ac:dyDescent="0.25">
      <c r="B24" s="9" t="s">
        <v>10</v>
      </c>
      <c r="E24" s="11">
        <f>+SUM(E19:E23)</f>
        <v>39300</v>
      </c>
      <c r="F24" s="11">
        <f t="shared" ref="F24:H24" si="7">+SUM(F19:F23)</f>
        <v>44966.666666666672</v>
      </c>
      <c r="G24" s="11">
        <f t="shared" si="7"/>
        <v>49300</v>
      </c>
      <c r="H24" s="11">
        <f t="shared" si="7"/>
        <v>67966.666666666657</v>
      </c>
    </row>
    <row r="26" spans="2:9" x14ac:dyDescent="0.25">
      <c r="B26" s="9" t="s">
        <v>18</v>
      </c>
      <c r="E26" s="2"/>
      <c r="F26" s="2"/>
      <c r="G26" s="2"/>
      <c r="H26" s="2"/>
      <c r="I26" s="2"/>
    </row>
    <row r="27" spans="2:9" x14ac:dyDescent="0.25">
      <c r="B27" s="5" t="s">
        <v>19</v>
      </c>
      <c r="E27" s="3">
        <v>2200</v>
      </c>
      <c r="F27" s="3">
        <f>+E31</f>
        <v>3890</v>
      </c>
      <c r="G27" s="3">
        <f>+F31</f>
        <v>8523.3333333333285</v>
      </c>
      <c r="H27" s="3">
        <f>+G31</f>
        <v>7748.3333333333285</v>
      </c>
      <c r="I27" s="2"/>
    </row>
    <row r="28" spans="2:9" x14ac:dyDescent="0.25">
      <c r="B28" s="5" t="s">
        <v>20</v>
      </c>
      <c r="E28" s="3">
        <f>+E15</f>
        <v>41490</v>
      </c>
      <c r="F28" s="3">
        <f>+F15</f>
        <v>50100</v>
      </c>
      <c r="G28" s="3">
        <f t="shared" ref="G28:H28" si="8">+G15</f>
        <v>49025</v>
      </c>
      <c r="H28" s="3">
        <f t="shared" si="8"/>
        <v>65900</v>
      </c>
      <c r="I28" s="2"/>
    </row>
    <row r="29" spans="2:9" x14ac:dyDescent="0.25">
      <c r="B29" s="5" t="s">
        <v>21</v>
      </c>
      <c r="E29" s="3">
        <f>+E24</f>
        <v>39300</v>
      </c>
      <c r="F29" s="3">
        <f>+F24</f>
        <v>44966.666666666672</v>
      </c>
      <c r="G29" s="3">
        <f t="shared" ref="G29:H29" si="9">+G24</f>
        <v>49300</v>
      </c>
      <c r="H29" s="3">
        <f t="shared" si="9"/>
        <v>67966.666666666657</v>
      </c>
      <c r="I29" s="2"/>
    </row>
    <row r="30" spans="2:9" x14ac:dyDescent="0.25">
      <c r="B30" s="5" t="s">
        <v>22</v>
      </c>
      <c r="E30" s="3">
        <v>500</v>
      </c>
      <c r="F30" s="3">
        <v>500</v>
      </c>
      <c r="G30" s="3">
        <v>500</v>
      </c>
      <c r="H30" s="3">
        <v>500</v>
      </c>
      <c r="I30" s="2"/>
    </row>
    <row r="31" spans="2:9" s="8" customFormat="1" x14ac:dyDescent="0.25">
      <c r="B31" s="9" t="s">
        <v>23</v>
      </c>
      <c r="E31" s="10">
        <f>+E27+E28-E29-E30</f>
        <v>3890</v>
      </c>
      <c r="F31" s="10">
        <f>+F27+F28-F29-F30</f>
        <v>8523.3333333333285</v>
      </c>
      <c r="G31" s="10">
        <f t="shared" ref="G31:H31" si="10">+G27+G28-G29-G30</f>
        <v>7748.3333333333285</v>
      </c>
      <c r="H31" s="10">
        <f t="shared" si="10"/>
        <v>5181.6666666666715</v>
      </c>
      <c r="I31" s="12"/>
    </row>
    <row r="32" spans="2:9" x14ac:dyDescent="0.25">
      <c r="E32" s="3"/>
      <c r="F32" s="3"/>
      <c r="G32" s="3"/>
      <c r="H32" s="3"/>
      <c r="I32" s="2"/>
    </row>
    <row r="33" spans="5:9" x14ac:dyDescent="0.25">
      <c r="E33" s="3"/>
      <c r="F33" s="3"/>
      <c r="G33" s="3"/>
      <c r="H33" s="3"/>
      <c r="I33" s="2"/>
    </row>
    <row r="34" spans="5:9" x14ac:dyDescent="0.25">
      <c r="E34" s="3"/>
      <c r="F34" s="3"/>
      <c r="G34" s="3"/>
      <c r="H34" s="3"/>
      <c r="I34" s="2"/>
    </row>
    <row r="35" spans="5:9" x14ac:dyDescent="0.25">
      <c r="E35" s="3"/>
      <c r="F35" s="3"/>
      <c r="G35" s="3"/>
      <c r="H35" s="3"/>
      <c r="I35" s="2"/>
    </row>
  </sheetData>
  <mergeCells count="2">
    <mergeCell ref="E3:H3"/>
    <mergeCell ref="E17:H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31DC9-53D6-444F-BB5F-0C924AB53E18}">
  <dimension ref="B2:S35"/>
  <sheetViews>
    <sheetView workbookViewId="0">
      <selection sqref="A1:XFD1048576"/>
    </sheetView>
  </sheetViews>
  <sheetFormatPr baseColWidth="10" defaultRowHeight="15" x14ac:dyDescent="0.25"/>
  <cols>
    <col min="1" max="1" width="3.140625" customWidth="1"/>
    <col min="2" max="2" width="15.85546875" customWidth="1"/>
    <col min="3" max="3" width="7.7109375" style="1" customWidth="1"/>
    <col min="4" max="14" width="9.85546875" customWidth="1"/>
    <col min="15" max="19" width="9.5703125" customWidth="1"/>
  </cols>
  <sheetData>
    <row r="2" spans="2:19" x14ac:dyDescent="0.25">
      <c r="D2" s="14">
        <v>2022</v>
      </c>
      <c r="E2" s="14"/>
      <c r="F2" s="14"/>
      <c r="G2" s="13">
        <v>2023</v>
      </c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">
        <v>2025</v>
      </c>
    </row>
    <row r="3" spans="2:19" s="1" customFormat="1" x14ac:dyDescent="0.25">
      <c r="B3" s="18" t="s">
        <v>0</v>
      </c>
      <c r="D3" s="1">
        <v>10</v>
      </c>
      <c r="E3" s="1">
        <f>+D3+1</f>
        <v>11</v>
      </c>
      <c r="F3" s="1">
        <f>+E3+1</f>
        <v>12</v>
      </c>
      <c r="G3" s="1">
        <v>1</v>
      </c>
      <c r="H3" s="1">
        <f>+G3+1</f>
        <v>2</v>
      </c>
      <c r="I3" s="1">
        <f t="shared" ref="I3:R3" si="0">+H3+1</f>
        <v>3</v>
      </c>
      <c r="J3" s="1">
        <f t="shared" si="0"/>
        <v>4</v>
      </c>
      <c r="K3" s="1">
        <f t="shared" si="0"/>
        <v>5</v>
      </c>
      <c r="L3" s="1">
        <f t="shared" si="0"/>
        <v>6</v>
      </c>
      <c r="M3" s="1">
        <f t="shared" si="0"/>
        <v>7</v>
      </c>
      <c r="N3" s="1">
        <f t="shared" si="0"/>
        <v>8</v>
      </c>
      <c r="O3" s="1">
        <f t="shared" si="0"/>
        <v>9</v>
      </c>
      <c r="P3" s="1">
        <f t="shared" si="0"/>
        <v>10</v>
      </c>
      <c r="Q3" s="1">
        <f t="shared" si="0"/>
        <v>11</v>
      </c>
      <c r="R3" s="1">
        <f t="shared" si="0"/>
        <v>12</v>
      </c>
      <c r="S3" s="1">
        <v>1</v>
      </c>
    </row>
    <row r="4" spans="2:19" x14ac:dyDescent="0.25">
      <c r="B4" t="s">
        <v>1</v>
      </c>
      <c r="D4" s="3">
        <v>25000</v>
      </c>
      <c r="E4" s="3">
        <v>30000</v>
      </c>
      <c r="F4" s="3">
        <v>38000</v>
      </c>
      <c r="G4" s="3">
        <v>40000</v>
      </c>
      <c r="H4" s="3">
        <v>45000</v>
      </c>
      <c r="I4" s="3">
        <v>48000</v>
      </c>
      <c r="J4" s="3">
        <v>35000</v>
      </c>
      <c r="K4" s="3">
        <v>40000</v>
      </c>
      <c r="L4" s="3">
        <v>52000</v>
      </c>
      <c r="M4" s="3">
        <v>70000</v>
      </c>
      <c r="N4" s="3">
        <v>40000</v>
      </c>
      <c r="O4" s="3">
        <v>60000</v>
      </c>
      <c r="P4" s="3">
        <v>32000</v>
      </c>
      <c r="Q4" s="3">
        <v>44000</v>
      </c>
      <c r="R4" s="3">
        <v>70000</v>
      </c>
      <c r="S4" s="3">
        <v>50000</v>
      </c>
    </row>
    <row r="5" spans="2:19" x14ac:dyDescent="0.25">
      <c r="B5" t="s">
        <v>2</v>
      </c>
      <c r="C5" s="15">
        <v>0.4</v>
      </c>
      <c r="D5" s="3">
        <f>+D4*C5</f>
        <v>10000</v>
      </c>
      <c r="E5" s="3">
        <f>+E4*C5</f>
        <v>12000</v>
      </c>
      <c r="F5" s="3">
        <f>+F4*$C$5</f>
        <v>15200</v>
      </c>
      <c r="G5" s="3">
        <f t="shared" ref="G5:S5" si="1">+G4*$C$5</f>
        <v>16000</v>
      </c>
      <c r="H5" s="3">
        <f t="shared" si="1"/>
        <v>18000</v>
      </c>
      <c r="I5" s="3">
        <f t="shared" si="1"/>
        <v>19200</v>
      </c>
      <c r="J5" s="3">
        <f t="shared" si="1"/>
        <v>14000</v>
      </c>
      <c r="K5" s="3">
        <f t="shared" si="1"/>
        <v>16000</v>
      </c>
      <c r="L5" s="3">
        <f t="shared" si="1"/>
        <v>20800</v>
      </c>
      <c r="M5" s="3">
        <f t="shared" si="1"/>
        <v>28000</v>
      </c>
      <c r="N5" s="3">
        <f t="shared" si="1"/>
        <v>16000</v>
      </c>
      <c r="O5" s="3">
        <f t="shared" si="1"/>
        <v>24000</v>
      </c>
      <c r="P5" s="3">
        <f t="shared" si="1"/>
        <v>12800</v>
      </c>
      <c r="Q5" s="3">
        <f t="shared" si="1"/>
        <v>17600</v>
      </c>
      <c r="R5" s="3">
        <f t="shared" si="1"/>
        <v>28000</v>
      </c>
      <c r="S5" s="3">
        <f t="shared" si="1"/>
        <v>20000</v>
      </c>
    </row>
    <row r="6" spans="2:19" x14ac:dyDescent="0.25">
      <c r="B6" t="s">
        <v>4</v>
      </c>
      <c r="C6" s="15">
        <v>0.01</v>
      </c>
      <c r="D6" s="3">
        <f>+D5*C6</f>
        <v>100</v>
      </c>
      <c r="E6" s="3">
        <f>+E5*C6</f>
        <v>120</v>
      </c>
      <c r="F6" s="3">
        <f>+F5*C6</f>
        <v>152</v>
      </c>
      <c r="G6" s="3">
        <f>+G5*$C$6</f>
        <v>160</v>
      </c>
      <c r="H6" s="3">
        <f t="shared" ref="H6:S6" si="2">+H5*$C$6</f>
        <v>180</v>
      </c>
      <c r="I6" s="3">
        <f t="shared" si="2"/>
        <v>192</v>
      </c>
      <c r="J6" s="3">
        <f t="shared" si="2"/>
        <v>140</v>
      </c>
      <c r="K6" s="3">
        <f t="shared" si="2"/>
        <v>160</v>
      </c>
      <c r="L6" s="3">
        <f t="shared" si="2"/>
        <v>208</v>
      </c>
      <c r="M6" s="3">
        <f t="shared" si="2"/>
        <v>280</v>
      </c>
      <c r="N6" s="3">
        <f t="shared" si="2"/>
        <v>160</v>
      </c>
      <c r="O6" s="3">
        <f t="shared" si="2"/>
        <v>240</v>
      </c>
      <c r="P6" s="3">
        <f t="shared" si="2"/>
        <v>128</v>
      </c>
      <c r="Q6" s="3">
        <f t="shared" si="2"/>
        <v>176</v>
      </c>
      <c r="R6" s="3">
        <f t="shared" si="2"/>
        <v>280</v>
      </c>
      <c r="S6" s="3">
        <f t="shared" si="2"/>
        <v>200</v>
      </c>
    </row>
    <row r="7" spans="2:19" s="5" customFormat="1" x14ac:dyDescent="0.25">
      <c r="B7" s="5" t="s">
        <v>5</v>
      </c>
      <c r="C7" s="16"/>
      <c r="D7" s="7">
        <f>+D5-D6</f>
        <v>9900</v>
      </c>
      <c r="E7" s="7">
        <f>+E5-E6</f>
        <v>11880</v>
      </c>
      <c r="F7" s="7">
        <f>+F5-F6</f>
        <v>15048</v>
      </c>
      <c r="G7" s="7">
        <f>+G5-G6</f>
        <v>15840</v>
      </c>
      <c r="H7" s="7">
        <f t="shared" ref="H7:S7" si="3">+H5-H6</f>
        <v>17820</v>
      </c>
      <c r="I7" s="7">
        <f t="shared" si="3"/>
        <v>19008</v>
      </c>
      <c r="J7" s="7">
        <f t="shared" si="3"/>
        <v>13860</v>
      </c>
      <c r="K7" s="7">
        <f t="shared" si="3"/>
        <v>15840</v>
      </c>
      <c r="L7" s="7">
        <f t="shared" si="3"/>
        <v>20592</v>
      </c>
      <c r="M7" s="7">
        <f t="shared" si="3"/>
        <v>27720</v>
      </c>
      <c r="N7" s="7">
        <f t="shared" si="3"/>
        <v>15840</v>
      </c>
      <c r="O7" s="7">
        <f t="shared" si="3"/>
        <v>23760</v>
      </c>
      <c r="P7" s="7">
        <f t="shared" si="3"/>
        <v>12672</v>
      </c>
      <c r="Q7" s="7">
        <f t="shared" si="3"/>
        <v>17424</v>
      </c>
      <c r="R7" s="7">
        <f t="shared" si="3"/>
        <v>27720</v>
      </c>
      <c r="S7" s="7">
        <f t="shared" si="3"/>
        <v>19800</v>
      </c>
    </row>
    <row r="8" spans="2:19" x14ac:dyDescent="0.25">
      <c r="B8" t="s">
        <v>3</v>
      </c>
      <c r="C8" s="15">
        <v>0.6</v>
      </c>
      <c r="D8" s="3">
        <f>+C8*D4</f>
        <v>15000</v>
      </c>
      <c r="E8" s="3">
        <f>+E4*C8</f>
        <v>18000</v>
      </c>
      <c r="F8" s="3">
        <f>+F4*$C$8</f>
        <v>22800</v>
      </c>
      <c r="G8" s="3">
        <f t="shared" ref="G8:S8" si="4">+G4*$C$8</f>
        <v>24000</v>
      </c>
      <c r="H8" s="3">
        <f t="shared" si="4"/>
        <v>27000</v>
      </c>
      <c r="I8" s="3">
        <f t="shared" si="4"/>
        <v>28800</v>
      </c>
      <c r="J8" s="3">
        <f t="shared" si="4"/>
        <v>21000</v>
      </c>
      <c r="K8" s="3">
        <f t="shared" si="4"/>
        <v>24000</v>
      </c>
      <c r="L8" s="3">
        <f t="shared" si="4"/>
        <v>31200</v>
      </c>
      <c r="M8" s="3">
        <f t="shared" si="4"/>
        <v>42000</v>
      </c>
      <c r="N8" s="3">
        <f t="shared" si="4"/>
        <v>24000</v>
      </c>
      <c r="O8" s="3">
        <f t="shared" si="4"/>
        <v>36000</v>
      </c>
      <c r="P8" s="3">
        <f t="shared" si="4"/>
        <v>19200</v>
      </c>
      <c r="Q8" s="3">
        <f t="shared" si="4"/>
        <v>26400</v>
      </c>
      <c r="R8" s="3">
        <f t="shared" si="4"/>
        <v>42000</v>
      </c>
      <c r="S8" s="3">
        <f t="shared" si="4"/>
        <v>30000</v>
      </c>
    </row>
    <row r="9" spans="2:19" s="5" customFormat="1" x14ac:dyDescent="0.25">
      <c r="B9" s="5" t="s">
        <v>6</v>
      </c>
      <c r="C9" s="17">
        <v>0.7</v>
      </c>
      <c r="D9" s="7">
        <f>+D8*C9</f>
        <v>10500</v>
      </c>
      <c r="E9" s="7">
        <f>+E8*C9</f>
        <v>12600</v>
      </c>
      <c r="F9" s="7">
        <f>+F8*$C$9</f>
        <v>15959.999999999998</v>
      </c>
      <c r="G9" s="7">
        <f t="shared" ref="G9:S9" si="5">+G8*$C$9</f>
        <v>16800</v>
      </c>
      <c r="H9" s="7">
        <f t="shared" si="5"/>
        <v>18900</v>
      </c>
      <c r="I9" s="7">
        <f t="shared" si="5"/>
        <v>20160</v>
      </c>
      <c r="J9" s="7">
        <f t="shared" si="5"/>
        <v>14699.999999999998</v>
      </c>
      <c r="K9" s="7">
        <f t="shared" si="5"/>
        <v>16800</v>
      </c>
      <c r="L9" s="7">
        <f t="shared" si="5"/>
        <v>21840</v>
      </c>
      <c r="M9" s="7">
        <f t="shared" si="5"/>
        <v>29399.999999999996</v>
      </c>
      <c r="N9" s="7">
        <f t="shared" si="5"/>
        <v>16800</v>
      </c>
      <c r="O9" s="7">
        <f t="shared" si="5"/>
        <v>25200</v>
      </c>
      <c r="P9" s="7">
        <f t="shared" si="5"/>
        <v>13440</v>
      </c>
      <c r="Q9" s="7">
        <f t="shared" si="5"/>
        <v>18480</v>
      </c>
      <c r="R9" s="7">
        <f t="shared" si="5"/>
        <v>29399.999999999996</v>
      </c>
      <c r="S9" s="7">
        <f t="shared" si="5"/>
        <v>21000</v>
      </c>
    </row>
    <row r="10" spans="2:19" s="5" customFormat="1" x14ac:dyDescent="0.25">
      <c r="B10" s="5" t="s">
        <v>6</v>
      </c>
      <c r="C10" s="17">
        <v>0.2</v>
      </c>
      <c r="D10" s="7"/>
      <c r="E10" s="7">
        <f>+D8*C10</f>
        <v>3000</v>
      </c>
      <c r="F10" s="7">
        <f>+E8*$C$10</f>
        <v>3600</v>
      </c>
      <c r="G10" s="7">
        <f t="shared" ref="G10:S10" si="6">+F8*$C$10</f>
        <v>4560</v>
      </c>
      <c r="H10" s="7">
        <f t="shared" si="6"/>
        <v>4800</v>
      </c>
      <c r="I10" s="7">
        <f t="shared" si="6"/>
        <v>5400</v>
      </c>
      <c r="J10" s="7">
        <f t="shared" si="6"/>
        <v>5760</v>
      </c>
      <c r="K10" s="7">
        <f t="shared" si="6"/>
        <v>4200</v>
      </c>
      <c r="L10" s="7">
        <f t="shared" si="6"/>
        <v>4800</v>
      </c>
      <c r="M10" s="7">
        <f t="shared" si="6"/>
        <v>6240</v>
      </c>
      <c r="N10" s="7">
        <f t="shared" si="6"/>
        <v>8400</v>
      </c>
      <c r="O10" s="7">
        <f t="shared" si="6"/>
        <v>4800</v>
      </c>
      <c r="P10" s="7">
        <f t="shared" si="6"/>
        <v>7200</v>
      </c>
      <c r="Q10" s="7">
        <f t="shared" si="6"/>
        <v>3840</v>
      </c>
      <c r="R10" s="7">
        <f t="shared" si="6"/>
        <v>5280</v>
      </c>
      <c r="S10" s="7">
        <f t="shared" si="6"/>
        <v>8400</v>
      </c>
    </row>
    <row r="11" spans="2:19" s="5" customFormat="1" x14ac:dyDescent="0.25">
      <c r="B11" s="5" t="s">
        <v>6</v>
      </c>
      <c r="C11" s="17">
        <v>0.1</v>
      </c>
      <c r="D11" s="7"/>
      <c r="E11" s="7"/>
      <c r="F11" s="7">
        <f>+D8*$C$11</f>
        <v>1500</v>
      </c>
      <c r="G11" s="7">
        <f t="shared" ref="G11:S11" si="7">+E8*$C$11</f>
        <v>1800</v>
      </c>
      <c r="H11" s="7">
        <f t="shared" si="7"/>
        <v>2280</v>
      </c>
      <c r="I11" s="7">
        <f t="shared" si="7"/>
        <v>2400</v>
      </c>
      <c r="J11" s="7">
        <f t="shared" si="7"/>
        <v>2700</v>
      </c>
      <c r="K11" s="7">
        <f t="shared" si="7"/>
        <v>2880</v>
      </c>
      <c r="L11" s="7">
        <f t="shared" si="7"/>
        <v>2100</v>
      </c>
      <c r="M11" s="7">
        <f t="shared" si="7"/>
        <v>2400</v>
      </c>
      <c r="N11" s="7">
        <f t="shared" si="7"/>
        <v>3120</v>
      </c>
      <c r="O11" s="7">
        <f t="shared" si="7"/>
        <v>4200</v>
      </c>
      <c r="P11" s="7">
        <f t="shared" si="7"/>
        <v>2400</v>
      </c>
      <c r="Q11" s="7">
        <f t="shared" si="7"/>
        <v>3600</v>
      </c>
      <c r="R11" s="7">
        <f t="shared" si="7"/>
        <v>1920</v>
      </c>
      <c r="S11" s="7">
        <f t="shared" si="7"/>
        <v>2640</v>
      </c>
    </row>
    <row r="12" spans="2:19" x14ac:dyDescent="0.25">
      <c r="B12" s="5" t="s">
        <v>24</v>
      </c>
      <c r="D12" s="3"/>
      <c r="E12" s="3"/>
      <c r="F12" s="3"/>
      <c r="G12" s="3"/>
      <c r="H12" s="3"/>
      <c r="I12" s="3"/>
      <c r="J12" s="3"/>
      <c r="K12" s="7">
        <v>20000</v>
      </c>
      <c r="L12" s="3"/>
      <c r="M12" s="3"/>
      <c r="N12" s="3"/>
      <c r="O12" s="3"/>
      <c r="P12" s="3"/>
      <c r="Q12" s="3"/>
      <c r="R12" s="3"/>
      <c r="S12" s="3"/>
    </row>
    <row r="13" spans="2:19" s="8" customFormat="1" x14ac:dyDescent="0.25">
      <c r="B13" s="9" t="s">
        <v>10</v>
      </c>
      <c r="C13" s="18"/>
      <c r="D13" s="10"/>
      <c r="E13" s="10"/>
      <c r="F13" s="10"/>
      <c r="G13" s="10">
        <f>+G7+G10+G9+G11+G12</f>
        <v>39000</v>
      </c>
      <c r="H13" s="10">
        <f t="shared" ref="H13:R13" si="8">+H7+H10+H9+H11+H12</f>
        <v>43800</v>
      </c>
      <c r="I13" s="10">
        <f t="shared" si="8"/>
        <v>46968</v>
      </c>
      <c r="J13" s="10">
        <f t="shared" si="8"/>
        <v>37020</v>
      </c>
      <c r="K13" s="10">
        <f t="shared" si="8"/>
        <v>59720</v>
      </c>
      <c r="L13" s="10">
        <f t="shared" si="8"/>
        <v>49332</v>
      </c>
      <c r="M13" s="10">
        <f t="shared" si="8"/>
        <v>65760</v>
      </c>
      <c r="N13" s="10">
        <f t="shared" si="8"/>
        <v>44160</v>
      </c>
      <c r="O13" s="10">
        <f t="shared" si="8"/>
        <v>57960</v>
      </c>
      <c r="P13" s="10">
        <f t="shared" si="8"/>
        <v>35712</v>
      </c>
      <c r="Q13" s="10">
        <f t="shared" si="8"/>
        <v>43344</v>
      </c>
      <c r="R13" s="10">
        <f t="shared" si="8"/>
        <v>64320</v>
      </c>
      <c r="S13" s="10"/>
    </row>
    <row r="14" spans="2:19" x14ac:dyDescent="0.25"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2:19" x14ac:dyDescent="0.25"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2:19" x14ac:dyDescent="0.25">
      <c r="B16" s="18" t="s">
        <v>11</v>
      </c>
      <c r="D16" s="3"/>
      <c r="E16" s="3"/>
      <c r="F16" s="3"/>
      <c r="G16" s="13">
        <v>2023</v>
      </c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3"/>
    </row>
    <row r="17" spans="2:19" x14ac:dyDescent="0.25">
      <c r="B17" t="s">
        <v>25</v>
      </c>
      <c r="D17" s="3">
        <f>+E4/1.4</f>
        <v>21428.571428571431</v>
      </c>
      <c r="E17" s="3">
        <f>+F4/1.4</f>
        <v>27142.857142857145</v>
      </c>
      <c r="F17" s="3">
        <f>+G4/1.4</f>
        <v>28571.428571428572</v>
      </c>
      <c r="G17" s="3">
        <f>+H4/1.4</f>
        <v>32142.857142857145</v>
      </c>
      <c r="H17" s="3">
        <f t="shared" ref="H17:S17" si="9">+I4/1.4</f>
        <v>34285.71428571429</v>
      </c>
      <c r="I17" s="3">
        <f t="shared" si="9"/>
        <v>25000</v>
      </c>
      <c r="J17" s="3">
        <f t="shared" si="9"/>
        <v>28571.428571428572</v>
      </c>
      <c r="K17" s="3">
        <f t="shared" si="9"/>
        <v>37142.857142857145</v>
      </c>
      <c r="L17" s="3">
        <f t="shared" si="9"/>
        <v>50000</v>
      </c>
      <c r="M17" s="3">
        <f t="shared" si="9"/>
        <v>28571.428571428572</v>
      </c>
      <c r="N17" s="3">
        <f t="shared" si="9"/>
        <v>42857.142857142862</v>
      </c>
      <c r="O17" s="3">
        <f t="shared" si="9"/>
        <v>22857.142857142859</v>
      </c>
      <c r="P17" s="3">
        <f t="shared" si="9"/>
        <v>31428.571428571431</v>
      </c>
      <c r="Q17" s="3">
        <f t="shared" si="9"/>
        <v>50000</v>
      </c>
      <c r="R17" s="3">
        <f t="shared" si="9"/>
        <v>35714.285714285717</v>
      </c>
      <c r="S17" s="3"/>
    </row>
    <row r="18" spans="2:19" x14ac:dyDescent="0.25">
      <c r="B18" t="s">
        <v>4</v>
      </c>
      <c r="C18" s="15">
        <v>0.03</v>
      </c>
      <c r="D18" s="3">
        <f>+D17*C18</f>
        <v>642.85714285714289</v>
      </c>
      <c r="E18" s="3">
        <f>+E17*C18</f>
        <v>814.28571428571433</v>
      </c>
      <c r="F18" s="3">
        <f>+F17*$C$18</f>
        <v>857.14285714285711</v>
      </c>
      <c r="G18" s="3">
        <f t="shared" ref="G18:R18" si="10">+G17*$C$18</f>
        <v>964.28571428571433</v>
      </c>
      <c r="H18" s="3">
        <f t="shared" si="10"/>
        <v>1028.5714285714287</v>
      </c>
      <c r="I18" s="3">
        <f t="shared" si="10"/>
        <v>750</v>
      </c>
      <c r="J18" s="3">
        <f t="shared" si="10"/>
        <v>857.14285714285711</v>
      </c>
      <c r="K18" s="3">
        <f t="shared" si="10"/>
        <v>1114.2857142857142</v>
      </c>
      <c r="L18" s="3">
        <f t="shared" si="10"/>
        <v>1500</v>
      </c>
      <c r="M18" s="3">
        <f t="shared" si="10"/>
        <v>857.14285714285711</v>
      </c>
      <c r="N18" s="3">
        <f t="shared" si="10"/>
        <v>1285.7142857142858</v>
      </c>
      <c r="O18" s="3">
        <f t="shared" si="10"/>
        <v>685.71428571428578</v>
      </c>
      <c r="P18" s="3">
        <f t="shared" si="10"/>
        <v>942.85714285714289</v>
      </c>
      <c r="Q18" s="3">
        <f t="shared" si="10"/>
        <v>1500</v>
      </c>
      <c r="R18" s="3">
        <f t="shared" si="10"/>
        <v>1071.4285714285716</v>
      </c>
      <c r="S18" s="3"/>
    </row>
    <row r="19" spans="2:19" s="5" customFormat="1" x14ac:dyDescent="0.25">
      <c r="B19" s="5" t="s">
        <v>13</v>
      </c>
      <c r="C19" s="16"/>
      <c r="D19" s="7">
        <f>+D17-D18</f>
        <v>20785.71428571429</v>
      </c>
      <c r="E19" s="7">
        <f>+E17-E18</f>
        <v>26328.571428571431</v>
      </c>
      <c r="F19" s="7">
        <f>+F17-F18</f>
        <v>27714.285714285714</v>
      </c>
      <c r="G19" s="7">
        <f t="shared" ref="G19:R19" si="11">+G17-G18</f>
        <v>31178.571428571431</v>
      </c>
      <c r="H19" s="7">
        <f t="shared" si="11"/>
        <v>33257.142857142862</v>
      </c>
      <c r="I19" s="7">
        <f t="shared" si="11"/>
        <v>24250</v>
      </c>
      <c r="J19" s="7">
        <f t="shared" si="11"/>
        <v>27714.285714285714</v>
      </c>
      <c r="K19" s="7">
        <f t="shared" si="11"/>
        <v>36028.571428571428</v>
      </c>
      <c r="L19" s="7">
        <f t="shared" si="11"/>
        <v>48500</v>
      </c>
      <c r="M19" s="7">
        <f t="shared" si="11"/>
        <v>27714.285714285714</v>
      </c>
      <c r="N19" s="7">
        <f t="shared" si="11"/>
        <v>41571.42857142858</v>
      </c>
      <c r="O19" s="7">
        <f t="shared" si="11"/>
        <v>22171.428571428572</v>
      </c>
      <c r="P19" s="7">
        <f t="shared" si="11"/>
        <v>30485.71428571429</v>
      </c>
      <c r="Q19" s="7">
        <f t="shared" si="11"/>
        <v>48500</v>
      </c>
      <c r="R19" s="7">
        <f t="shared" si="11"/>
        <v>34642.857142857145</v>
      </c>
      <c r="S19" s="7"/>
    </row>
    <row r="20" spans="2:19" x14ac:dyDescent="0.25">
      <c r="B20" t="s">
        <v>26</v>
      </c>
      <c r="D20" s="3"/>
      <c r="E20" s="3"/>
      <c r="F20" s="3"/>
      <c r="G20" s="3"/>
      <c r="H20" s="3">
        <v>4000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2:19" s="5" customFormat="1" x14ac:dyDescent="0.25">
      <c r="B21" s="5" t="s">
        <v>27</v>
      </c>
      <c r="C21" s="16"/>
      <c r="D21" s="7"/>
      <c r="E21" s="7"/>
      <c r="F21" s="7"/>
      <c r="G21" s="7"/>
      <c r="H21" s="7"/>
      <c r="I21" s="7"/>
      <c r="J21" s="7"/>
      <c r="K21" s="7"/>
      <c r="L21" s="7"/>
      <c r="M21" s="7"/>
      <c r="N21" s="7">
        <v>4000</v>
      </c>
      <c r="O21" s="7"/>
      <c r="P21" s="7"/>
      <c r="Q21" s="7"/>
      <c r="R21" s="7"/>
      <c r="S21" s="7"/>
    </row>
    <row r="22" spans="2:19" s="5" customFormat="1" x14ac:dyDescent="0.25">
      <c r="B22" s="5" t="s">
        <v>14</v>
      </c>
      <c r="C22" s="16"/>
      <c r="D22" s="7"/>
      <c r="E22" s="7"/>
      <c r="F22" s="7"/>
      <c r="G22" s="7">
        <v>8000</v>
      </c>
      <c r="H22" s="7">
        <v>8500</v>
      </c>
      <c r="I22" s="7">
        <v>8500</v>
      </c>
      <c r="J22" s="7">
        <v>9000</v>
      </c>
      <c r="K22" s="7">
        <v>8800</v>
      </c>
      <c r="L22" s="7">
        <v>8600</v>
      </c>
      <c r="M22" s="7">
        <v>16000</v>
      </c>
      <c r="N22" s="7">
        <v>8200</v>
      </c>
      <c r="O22" s="7">
        <v>8800</v>
      </c>
      <c r="P22" s="7">
        <v>7800</v>
      </c>
      <c r="Q22" s="7">
        <v>8400</v>
      </c>
      <c r="R22" s="7">
        <v>16000</v>
      </c>
      <c r="S22" s="7"/>
    </row>
    <row r="23" spans="2:19" s="5" customFormat="1" x14ac:dyDescent="0.25">
      <c r="B23" s="5" t="s">
        <v>28</v>
      </c>
      <c r="C23" s="16"/>
      <c r="D23" s="7"/>
      <c r="E23" s="7"/>
      <c r="F23" s="7"/>
      <c r="G23" s="7">
        <v>1000</v>
      </c>
      <c r="H23" s="7"/>
      <c r="I23" s="7"/>
      <c r="J23" s="7">
        <v>1500</v>
      </c>
      <c r="K23" s="7"/>
      <c r="L23" s="7"/>
      <c r="M23" s="7"/>
      <c r="N23" s="7"/>
      <c r="O23" s="7">
        <v>2000</v>
      </c>
      <c r="P23" s="7"/>
      <c r="Q23" s="7"/>
      <c r="R23" s="7"/>
      <c r="S23" s="7"/>
    </row>
    <row r="24" spans="2:19" s="5" customFormat="1" x14ac:dyDescent="0.25">
      <c r="B24" s="5" t="s">
        <v>16</v>
      </c>
      <c r="C24" s="16"/>
      <c r="D24" s="7"/>
      <c r="E24" s="7"/>
      <c r="F24" s="7"/>
      <c r="G24" s="7"/>
      <c r="H24" s="7"/>
      <c r="I24" s="7">
        <v>3000</v>
      </c>
      <c r="J24" s="7"/>
      <c r="K24" s="7"/>
      <c r="L24" s="7"/>
      <c r="M24" s="7"/>
      <c r="N24" s="7"/>
      <c r="O24" s="7"/>
      <c r="P24" s="7"/>
      <c r="Q24" s="7"/>
      <c r="R24" s="7"/>
      <c r="S24" s="7"/>
    </row>
    <row r="25" spans="2:19" x14ac:dyDescent="0.25">
      <c r="B25" s="5" t="s">
        <v>17</v>
      </c>
      <c r="D25" s="3"/>
      <c r="E25" s="3"/>
      <c r="F25" s="3"/>
      <c r="G25" s="7">
        <v>900</v>
      </c>
      <c r="H25" s="7">
        <f>+G25</f>
        <v>900</v>
      </c>
      <c r="I25" s="7">
        <f t="shared" ref="I25:R25" si="12">+H25</f>
        <v>900</v>
      </c>
      <c r="J25" s="7">
        <f t="shared" si="12"/>
        <v>900</v>
      </c>
      <c r="K25" s="7">
        <f t="shared" si="12"/>
        <v>900</v>
      </c>
      <c r="L25" s="7">
        <f t="shared" si="12"/>
        <v>900</v>
      </c>
      <c r="M25" s="7">
        <f t="shared" si="12"/>
        <v>900</v>
      </c>
      <c r="N25" s="7">
        <f t="shared" si="12"/>
        <v>900</v>
      </c>
      <c r="O25" s="7">
        <f t="shared" si="12"/>
        <v>900</v>
      </c>
      <c r="P25" s="7">
        <f t="shared" si="12"/>
        <v>900</v>
      </c>
      <c r="Q25" s="7">
        <f t="shared" si="12"/>
        <v>900</v>
      </c>
      <c r="R25" s="7">
        <f t="shared" si="12"/>
        <v>900</v>
      </c>
      <c r="S25" s="3"/>
    </row>
    <row r="26" spans="2:19" x14ac:dyDescent="0.25">
      <c r="B26" s="9" t="s">
        <v>10</v>
      </c>
      <c r="D26" s="3"/>
      <c r="E26" s="3"/>
      <c r="F26" s="3"/>
      <c r="G26" s="10">
        <f>+G19+G21+G22+G23+G24+G25</f>
        <v>41078.571428571435</v>
      </c>
      <c r="H26" s="10">
        <f t="shared" ref="H26:R26" si="13">+H19+H21+H22+H23+H24+H25</f>
        <v>42657.142857142862</v>
      </c>
      <c r="I26" s="10">
        <f t="shared" si="13"/>
        <v>36650</v>
      </c>
      <c r="J26" s="10">
        <f t="shared" si="13"/>
        <v>39114.28571428571</v>
      </c>
      <c r="K26" s="10">
        <f t="shared" si="13"/>
        <v>45728.571428571428</v>
      </c>
      <c r="L26" s="10">
        <f t="shared" si="13"/>
        <v>58000</v>
      </c>
      <c r="M26" s="10">
        <f t="shared" si="13"/>
        <v>44614.28571428571</v>
      </c>
      <c r="N26" s="10">
        <f t="shared" si="13"/>
        <v>54671.42857142858</v>
      </c>
      <c r="O26" s="10">
        <f t="shared" si="13"/>
        <v>33871.428571428572</v>
      </c>
      <c r="P26" s="10">
        <f t="shared" si="13"/>
        <v>39185.71428571429</v>
      </c>
      <c r="Q26" s="10">
        <f t="shared" si="13"/>
        <v>57800</v>
      </c>
      <c r="R26" s="10">
        <f t="shared" si="13"/>
        <v>51542.857142857145</v>
      </c>
      <c r="S26" s="3"/>
    </row>
    <row r="27" spans="2:19" x14ac:dyDescent="0.25"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2:19" x14ac:dyDescent="0.25">
      <c r="B28" s="9" t="s">
        <v>18</v>
      </c>
      <c r="D28" s="3"/>
      <c r="E28" s="3"/>
      <c r="F28" s="3"/>
      <c r="G28" s="13">
        <v>2023</v>
      </c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3"/>
    </row>
    <row r="29" spans="2:19" s="19" customFormat="1" x14ac:dyDescent="0.25">
      <c r="B29" s="19" t="s">
        <v>29</v>
      </c>
      <c r="C29" s="20"/>
      <c r="D29" s="21"/>
      <c r="E29" s="21"/>
      <c r="F29" s="21"/>
      <c r="G29" s="21">
        <v>5000</v>
      </c>
      <c r="H29" s="21">
        <f>+G33</f>
        <v>2421.4285714285652</v>
      </c>
      <c r="I29" s="21">
        <f>+H33</f>
        <v>3064.2857142857029</v>
      </c>
      <c r="J29" s="21">
        <f t="shared" ref="J29:R29" si="14">+I33</f>
        <v>12882.285714285703</v>
      </c>
      <c r="K29" s="21">
        <f t="shared" si="14"/>
        <v>10287.999999999993</v>
      </c>
      <c r="L29" s="21">
        <f t="shared" si="14"/>
        <v>23779.428571428572</v>
      </c>
      <c r="M29" s="21">
        <f t="shared" si="14"/>
        <v>14611.42857142858</v>
      </c>
      <c r="N29" s="21">
        <f t="shared" si="14"/>
        <v>35257.14285714287</v>
      </c>
      <c r="O29" s="21">
        <f t="shared" si="14"/>
        <v>24245.71428571429</v>
      </c>
      <c r="P29" s="21">
        <f t="shared" si="14"/>
        <v>47834.285714285717</v>
      </c>
      <c r="Q29" s="21">
        <f t="shared" si="14"/>
        <v>43860.57142857142</v>
      </c>
      <c r="R29" s="21">
        <f t="shared" si="14"/>
        <v>28904.57142857142</v>
      </c>
      <c r="S29" s="21"/>
    </row>
    <row r="30" spans="2:19" s="19" customFormat="1" x14ac:dyDescent="0.25">
      <c r="B30" s="19" t="s">
        <v>0</v>
      </c>
      <c r="C30" s="20"/>
      <c r="D30" s="21"/>
      <c r="E30" s="21"/>
      <c r="F30" s="21"/>
      <c r="G30" s="21">
        <f>+G13</f>
        <v>39000</v>
      </c>
      <c r="H30" s="21">
        <f>+H13</f>
        <v>43800</v>
      </c>
      <c r="I30" s="21">
        <f t="shared" ref="I30:R30" si="15">+I13</f>
        <v>46968</v>
      </c>
      <c r="J30" s="21">
        <f t="shared" si="15"/>
        <v>37020</v>
      </c>
      <c r="K30" s="21">
        <f t="shared" si="15"/>
        <v>59720</v>
      </c>
      <c r="L30" s="21">
        <f t="shared" si="15"/>
        <v>49332</v>
      </c>
      <c r="M30" s="21">
        <f t="shared" si="15"/>
        <v>65760</v>
      </c>
      <c r="N30" s="21">
        <f t="shared" si="15"/>
        <v>44160</v>
      </c>
      <c r="O30" s="21">
        <f t="shared" si="15"/>
        <v>57960</v>
      </c>
      <c r="P30" s="21">
        <f t="shared" si="15"/>
        <v>35712</v>
      </c>
      <c r="Q30" s="21">
        <f t="shared" si="15"/>
        <v>43344</v>
      </c>
      <c r="R30" s="21">
        <f t="shared" si="15"/>
        <v>64320</v>
      </c>
      <c r="S30" s="21"/>
    </row>
    <row r="31" spans="2:19" s="19" customFormat="1" x14ac:dyDescent="0.25">
      <c r="B31" s="19" t="s">
        <v>11</v>
      </c>
      <c r="C31" s="20"/>
      <c r="D31" s="21"/>
      <c r="E31" s="21"/>
      <c r="F31" s="21"/>
      <c r="G31" s="21">
        <f>+G26</f>
        <v>41078.571428571435</v>
      </c>
      <c r="H31" s="21">
        <f>+H26</f>
        <v>42657.142857142862</v>
      </c>
      <c r="I31" s="21">
        <f t="shared" ref="I31:R31" si="16">+I26</f>
        <v>36650</v>
      </c>
      <c r="J31" s="21">
        <f t="shared" si="16"/>
        <v>39114.28571428571</v>
      </c>
      <c r="K31" s="21">
        <f t="shared" si="16"/>
        <v>45728.571428571428</v>
      </c>
      <c r="L31" s="21">
        <f t="shared" si="16"/>
        <v>58000</v>
      </c>
      <c r="M31" s="21">
        <f t="shared" si="16"/>
        <v>44614.28571428571</v>
      </c>
      <c r="N31" s="21">
        <f t="shared" si="16"/>
        <v>54671.42857142858</v>
      </c>
      <c r="O31" s="21">
        <f t="shared" si="16"/>
        <v>33871.428571428572</v>
      </c>
      <c r="P31" s="21">
        <f t="shared" si="16"/>
        <v>39185.71428571429</v>
      </c>
      <c r="Q31" s="21">
        <f t="shared" si="16"/>
        <v>57800</v>
      </c>
      <c r="R31" s="21">
        <f t="shared" si="16"/>
        <v>51542.857142857145</v>
      </c>
      <c r="S31" s="21"/>
    </row>
    <row r="32" spans="2:19" s="19" customFormat="1" x14ac:dyDescent="0.25">
      <c r="B32" s="19" t="s">
        <v>30</v>
      </c>
      <c r="C32" s="20"/>
      <c r="D32" s="21"/>
      <c r="E32" s="21"/>
      <c r="F32" s="21"/>
      <c r="G32" s="21">
        <v>500</v>
      </c>
      <c r="H32" s="21">
        <f>+G32</f>
        <v>500</v>
      </c>
      <c r="I32" s="21">
        <f t="shared" ref="I32:R32" si="17">+H32</f>
        <v>500</v>
      </c>
      <c r="J32" s="21">
        <f t="shared" si="17"/>
        <v>500</v>
      </c>
      <c r="K32" s="21">
        <f t="shared" si="17"/>
        <v>500</v>
      </c>
      <c r="L32" s="21">
        <f t="shared" si="17"/>
        <v>500</v>
      </c>
      <c r="M32" s="21">
        <f t="shared" si="17"/>
        <v>500</v>
      </c>
      <c r="N32" s="21">
        <f t="shared" si="17"/>
        <v>500</v>
      </c>
      <c r="O32" s="21">
        <f t="shared" si="17"/>
        <v>500</v>
      </c>
      <c r="P32" s="21">
        <f t="shared" si="17"/>
        <v>500</v>
      </c>
      <c r="Q32" s="21">
        <f t="shared" si="17"/>
        <v>500</v>
      </c>
      <c r="R32" s="21">
        <f t="shared" si="17"/>
        <v>500</v>
      </c>
      <c r="S32" s="21"/>
    </row>
    <row r="33" spans="2:19" s="22" customFormat="1" x14ac:dyDescent="0.25">
      <c r="B33" s="22" t="s">
        <v>23</v>
      </c>
      <c r="C33" s="23"/>
      <c r="D33" s="24"/>
      <c r="E33" s="24"/>
      <c r="F33" s="24"/>
      <c r="G33" s="24">
        <f>+G29+G30-G31-G32</f>
        <v>2421.4285714285652</v>
      </c>
      <c r="H33" s="24">
        <f>+H29+H30-H31-H32</f>
        <v>3064.2857142857029</v>
      </c>
      <c r="I33" s="24">
        <f t="shared" ref="I33:R33" si="18">+I29+I30-I31-I32</f>
        <v>12882.285714285703</v>
      </c>
      <c r="J33" s="24">
        <f t="shared" si="18"/>
        <v>10287.999999999993</v>
      </c>
      <c r="K33" s="24">
        <f t="shared" si="18"/>
        <v>23779.428571428572</v>
      </c>
      <c r="L33" s="24">
        <f t="shared" si="18"/>
        <v>14611.42857142858</v>
      </c>
      <c r="M33" s="24">
        <f t="shared" si="18"/>
        <v>35257.14285714287</v>
      </c>
      <c r="N33" s="24">
        <f t="shared" si="18"/>
        <v>24245.71428571429</v>
      </c>
      <c r="O33" s="24">
        <f t="shared" si="18"/>
        <v>47834.285714285717</v>
      </c>
      <c r="P33" s="24">
        <f t="shared" si="18"/>
        <v>43860.57142857142</v>
      </c>
      <c r="Q33" s="24">
        <f t="shared" si="18"/>
        <v>28904.57142857142</v>
      </c>
      <c r="R33" s="24">
        <f t="shared" si="18"/>
        <v>41181.714285714275</v>
      </c>
      <c r="S33" s="24"/>
    </row>
    <row r="34" spans="2:19" s="19" customFormat="1" x14ac:dyDescent="0.25">
      <c r="C34" s="20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</row>
    <row r="35" spans="2:19" s="19" customFormat="1" x14ac:dyDescent="0.25">
      <c r="C35" s="20"/>
    </row>
  </sheetData>
  <mergeCells count="4">
    <mergeCell ref="G2:R2"/>
    <mergeCell ref="D2:F2"/>
    <mergeCell ref="G28:R28"/>
    <mergeCell ref="G16:R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3B05-191A-4B71-9720-FBD58B27889C}">
  <dimension ref="B2:S44"/>
  <sheetViews>
    <sheetView tabSelected="1" topLeftCell="A9" workbookViewId="0">
      <selection activeCell="J39" sqref="J39"/>
    </sheetView>
  </sheetViews>
  <sheetFormatPr baseColWidth="10" defaultRowHeight="15" x14ac:dyDescent="0.25"/>
  <cols>
    <col min="1" max="1" width="3.140625" style="19" customWidth="1"/>
    <col min="2" max="2" width="15.85546875" style="19" customWidth="1"/>
    <col min="3" max="3" width="7.7109375" style="20" customWidth="1"/>
    <col min="4" max="14" width="9.85546875" style="19" customWidth="1"/>
    <col min="15" max="18" width="9.5703125" style="19" customWidth="1"/>
    <col min="19" max="16384" width="11.42578125" style="19"/>
  </cols>
  <sheetData>
    <row r="2" spans="2:18" x14ac:dyDescent="0.25">
      <c r="D2" s="25">
        <v>2022</v>
      </c>
      <c r="E2" s="25"/>
      <c r="F2" s="25"/>
      <c r="G2" s="26">
        <v>2023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2:18" s="20" customFormat="1" x14ac:dyDescent="0.25">
      <c r="B3" s="23" t="s">
        <v>0</v>
      </c>
      <c r="D3" s="20">
        <v>10</v>
      </c>
      <c r="E3" s="20">
        <v>11</v>
      </c>
      <c r="F3" s="20">
        <v>12</v>
      </c>
      <c r="G3" s="20">
        <v>1</v>
      </c>
      <c r="H3" s="20">
        <f>+G3+1</f>
        <v>2</v>
      </c>
      <c r="I3" s="20">
        <f t="shared" ref="I3:R3" si="0">+H3+1</f>
        <v>3</v>
      </c>
      <c r="J3" s="20">
        <f t="shared" si="0"/>
        <v>4</v>
      </c>
      <c r="K3" s="20">
        <f t="shared" si="0"/>
        <v>5</v>
      </c>
      <c r="L3" s="20">
        <f t="shared" si="0"/>
        <v>6</v>
      </c>
      <c r="M3" s="20">
        <f t="shared" si="0"/>
        <v>7</v>
      </c>
      <c r="N3" s="20">
        <f t="shared" si="0"/>
        <v>8</v>
      </c>
      <c r="O3" s="20">
        <f t="shared" si="0"/>
        <v>9</v>
      </c>
      <c r="P3" s="20">
        <f t="shared" si="0"/>
        <v>10</v>
      </c>
      <c r="Q3" s="20">
        <f t="shared" si="0"/>
        <v>11</v>
      </c>
      <c r="R3" s="20">
        <f t="shared" si="0"/>
        <v>12</v>
      </c>
    </row>
    <row r="4" spans="2:18" x14ac:dyDescent="0.25">
      <c r="B4" s="19" t="s">
        <v>1</v>
      </c>
      <c r="D4" s="21">
        <v>25000</v>
      </c>
      <c r="E4" s="21">
        <v>30000</v>
      </c>
      <c r="F4" s="21">
        <v>38000</v>
      </c>
      <c r="G4" s="21">
        <v>40000</v>
      </c>
      <c r="H4" s="21">
        <v>45000</v>
      </c>
      <c r="I4" s="21">
        <v>48000</v>
      </c>
      <c r="J4" s="21">
        <v>35000</v>
      </c>
      <c r="K4" s="21">
        <v>40000</v>
      </c>
      <c r="L4" s="21">
        <v>52000</v>
      </c>
      <c r="M4" s="21">
        <v>70000</v>
      </c>
      <c r="N4" s="21">
        <v>40000</v>
      </c>
      <c r="O4" s="21">
        <v>60000</v>
      </c>
      <c r="P4" s="21">
        <v>32000</v>
      </c>
      <c r="Q4" s="21">
        <v>44000</v>
      </c>
      <c r="R4" s="21">
        <v>70000</v>
      </c>
    </row>
    <row r="5" spans="2:18" s="5" customFormat="1" x14ac:dyDescent="0.25">
      <c r="B5" s="5" t="s">
        <v>2</v>
      </c>
      <c r="C5" s="17">
        <v>0.4</v>
      </c>
      <c r="D5" s="7">
        <f>+D4*C5</f>
        <v>10000</v>
      </c>
      <c r="E5" s="7">
        <f>+E4*C5</f>
        <v>12000</v>
      </c>
      <c r="F5" s="7">
        <f>+F4*$C$5</f>
        <v>15200</v>
      </c>
      <c r="G5" s="7">
        <f t="shared" ref="G5:R5" si="1">+G4*$C$5</f>
        <v>16000</v>
      </c>
      <c r="H5" s="7">
        <f t="shared" si="1"/>
        <v>18000</v>
      </c>
      <c r="I5" s="7">
        <f t="shared" si="1"/>
        <v>19200</v>
      </c>
      <c r="J5" s="7">
        <f t="shared" si="1"/>
        <v>14000</v>
      </c>
      <c r="K5" s="7">
        <f t="shared" si="1"/>
        <v>16000</v>
      </c>
      <c r="L5" s="7">
        <f t="shared" si="1"/>
        <v>20800</v>
      </c>
      <c r="M5" s="7">
        <f t="shared" si="1"/>
        <v>28000</v>
      </c>
      <c r="N5" s="7">
        <f t="shared" si="1"/>
        <v>16000</v>
      </c>
      <c r="O5" s="7">
        <f t="shared" si="1"/>
        <v>24000</v>
      </c>
      <c r="P5" s="7">
        <f t="shared" si="1"/>
        <v>12800</v>
      </c>
      <c r="Q5" s="7">
        <f t="shared" si="1"/>
        <v>17600</v>
      </c>
      <c r="R5" s="7">
        <f t="shared" si="1"/>
        <v>28000</v>
      </c>
    </row>
    <row r="6" spans="2:18" x14ac:dyDescent="0.25">
      <c r="B6" s="19" t="s">
        <v>3</v>
      </c>
      <c r="C6" s="27">
        <v>0.6</v>
      </c>
      <c r="D6" s="21">
        <f>+D4*C6</f>
        <v>15000</v>
      </c>
      <c r="E6" s="21">
        <f>+E4*C6</f>
        <v>18000</v>
      </c>
      <c r="F6" s="21">
        <f>+F4*$C$6</f>
        <v>22800</v>
      </c>
      <c r="G6" s="21">
        <f t="shared" ref="G6:R6" si="2">+G4*$C$6</f>
        <v>24000</v>
      </c>
      <c r="H6" s="21">
        <f t="shared" si="2"/>
        <v>27000</v>
      </c>
      <c r="I6" s="21">
        <f t="shared" si="2"/>
        <v>28800</v>
      </c>
      <c r="J6" s="21">
        <f t="shared" si="2"/>
        <v>21000</v>
      </c>
      <c r="K6" s="21">
        <f t="shared" si="2"/>
        <v>24000</v>
      </c>
      <c r="L6" s="21">
        <f t="shared" si="2"/>
        <v>31200</v>
      </c>
      <c r="M6" s="21">
        <f t="shared" si="2"/>
        <v>42000</v>
      </c>
      <c r="N6" s="21">
        <f t="shared" si="2"/>
        <v>24000</v>
      </c>
      <c r="O6" s="21">
        <f t="shared" si="2"/>
        <v>36000</v>
      </c>
      <c r="P6" s="21">
        <f t="shared" si="2"/>
        <v>19200</v>
      </c>
      <c r="Q6" s="21">
        <f t="shared" si="2"/>
        <v>26400</v>
      </c>
      <c r="R6" s="21">
        <f t="shared" si="2"/>
        <v>42000</v>
      </c>
    </row>
    <row r="7" spans="2:18" s="5" customFormat="1" x14ac:dyDescent="0.25">
      <c r="B7" s="5" t="s">
        <v>6</v>
      </c>
      <c r="C7" s="17">
        <v>0.7</v>
      </c>
      <c r="D7" s="7">
        <f>+D6*C7</f>
        <v>10500</v>
      </c>
      <c r="E7" s="7">
        <f>+E6*C7</f>
        <v>12600</v>
      </c>
      <c r="F7" s="7">
        <f>+F6*$C$7</f>
        <v>15959.999999999998</v>
      </c>
      <c r="G7" s="7">
        <f t="shared" ref="G7:R7" si="3">+G6*$C$7</f>
        <v>16800</v>
      </c>
      <c r="H7" s="7">
        <f t="shared" si="3"/>
        <v>18900</v>
      </c>
      <c r="I7" s="7">
        <f t="shared" si="3"/>
        <v>20160</v>
      </c>
      <c r="J7" s="7">
        <f t="shared" si="3"/>
        <v>14699.999999999998</v>
      </c>
      <c r="K7" s="7">
        <f t="shared" si="3"/>
        <v>16800</v>
      </c>
      <c r="L7" s="7">
        <f t="shared" si="3"/>
        <v>21840</v>
      </c>
      <c r="M7" s="7">
        <f t="shared" si="3"/>
        <v>29399.999999999996</v>
      </c>
      <c r="N7" s="7">
        <f t="shared" si="3"/>
        <v>16800</v>
      </c>
      <c r="O7" s="7">
        <f t="shared" si="3"/>
        <v>25200</v>
      </c>
      <c r="P7" s="7">
        <f t="shared" si="3"/>
        <v>13440</v>
      </c>
      <c r="Q7" s="7">
        <f t="shared" si="3"/>
        <v>18480</v>
      </c>
      <c r="R7" s="7">
        <f t="shared" si="3"/>
        <v>29399.999999999996</v>
      </c>
    </row>
    <row r="8" spans="2:18" s="5" customFormat="1" x14ac:dyDescent="0.25">
      <c r="B8" s="5" t="s">
        <v>6</v>
      </c>
      <c r="C8" s="17">
        <v>0.15</v>
      </c>
      <c r="D8" s="7"/>
      <c r="E8" s="7">
        <f>+D6*C8</f>
        <v>2250</v>
      </c>
      <c r="F8" s="7">
        <f>+E6*$C$8</f>
        <v>2700</v>
      </c>
      <c r="G8" s="7">
        <f t="shared" ref="G8:R8" si="4">+F6*$C$8</f>
        <v>3420</v>
      </c>
      <c r="H8" s="7">
        <f t="shared" si="4"/>
        <v>3600</v>
      </c>
      <c r="I8" s="7">
        <f t="shared" si="4"/>
        <v>4050</v>
      </c>
      <c r="J8" s="7">
        <f t="shared" si="4"/>
        <v>4320</v>
      </c>
      <c r="K8" s="7">
        <f t="shared" si="4"/>
        <v>3150</v>
      </c>
      <c r="L8" s="7">
        <f t="shared" si="4"/>
        <v>3600</v>
      </c>
      <c r="M8" s="7">
        <f t="shared" si="4"/>
        <v>4680</v>
      </c>
      <c r="N8" s="7">
        <f t="shared" si="4"/>
        <v>6300</v>
      </c>
      <c r="O8" s="7">
        <f t="shared" si="4"/>
        <v>3600</v>
      </c>
      <c r="P8" s="7">
        <f t="shared" si="4"/>
        <v>5400</v>
      </c>
      <c r="Q8" s="7">
        <f t="shared" si="4"/>
        <v>2880</v>
      </c>
      <c r="R8" s="7">
        <f t="shared" si="4"/>
        <v>3960</v>
      </c>
    </row>
    <row r="9" spans="2:18" s="5" customFormat="1" x14ac:dyDescent="0.25">
      <c r="B9" s="5" t="s">
        <v>6</v>
      </c>
      <c r="C9" s="17">
        <v>0.15</v>
      </c>
      <c r="D9" s="7"/>
      <c r="E9" s="7"/>
      <c r="F9" s="7">
        <f>+D6*$C$9</f>
        <v>2250</v>
      </c>
      <c r="G9" s="7">
        <f t="shared" ref="G9:R9" si="5">+E6*$C$9</f>
        <v>2700</v>
      </c>
      <c r="H9" s="7">
        <f t="shared" si="5"/>
        <v>3420</v>
      </c>
      <c r="I9" s="7">
        <f t="shared" si="5"/>
        <v>3600</v>
      </c>
      <c r="J9" s="7">
        <f t="shared" si="5"/>
        <v>4050</v>
      </c>
      <c r="K9" s="7">
        <f t="shared" si="5"/>
        <v>4320</v>
      </c>
      <c r="L9" s="7">
        <f t="shared" si="5"/>
        <v>3150</v>
      </c>
      <c r="M9" s="7">
        <f t="shared" si="5"/>
        <v>3600</v>
      </c>
      <c r="N9" s="7">
        <f t="shared" si="5"/>
        <v>4680</v>
      </c>
      <c r="O9" s="7">
        <f t="shared" si="5"/>
        <v>6300</v>
      </c>
      <c r="P9" s="7">
        <f t="shared" si="5"/>
        <v>3600</v>
      </c>
      <c r="Q9" s="7">
        <f t="shared" si="5"/>
        <v>5400</v>
      </c>
      <c r="R9" s="7">
        <f t="shared" si="5"/>
        <v>2880</v>
      </c>
    </row>
    <row r="10" spans="2:18" s="5" customFormat="1" x14ac:dyDescent="0.25">
      <c r="B10" s="5" t="s">
        <v>24</v>
      </c>
      <c r="C10" s="16"/>
      <c r="D10" s="7"/>
      <c r="E10" s="7"/>
      <c r="F10" s="7"/>
      <c r="G10" s="7"/>
      <c r="H10" s="7"/>
      <c r="I10" s="7">
        <v>10000</v>
      </c>
      <c r="J10" s="7"/>
      <c r="K10" s="7"/>
      <c r="L10" s="7"/>
      <c r="M10" s="7"/>
      <c r="N10" s="7"/>
      <c r="O10" s="7"/>
      <c r="P10" s="7"/>
      <c r="Q10" s="7"/>
      <c r="R10" s="7"/>
    </row>
    <row r="11" spans="2:18" s="22" customFormat="1" x14ac:dyDescent="0.25">
      <c r="B11" s="22" t="s">
        <v>10</v>
      </c>
      <c r="C11" s="23"/>
      <c r="D11" s="24">
        <f>+D5+D7+D8+D9+D10</f>
        <v>20500</v>
      </c>
      <c r="E11" s="24">
        <f t="shared" ref="E11:R11" si="6">+E5+E7+E8+E9+E10</f>
        <v>26850</v>
      </c>
      <c r="F11" s="24">
        <f t="shared" si="6"/>
        <v>36110</v>
      </c>
      <c r="G11" s="24">
        <f t="shared" si="6"/>
        <v>38920</v>
      </c>
      <c r="H11" s="24">
        <f t="shared" si="6"/>
        <v>43920</v>
      </c>
      <c r="I11" s="24">
        <f t="shared" si="6"/>
        <v>57010</v>
      </c>
      <c r="J11" s="24">
        <f t="shared" si="6"/>
        <v>37070</v>
      </c>
      <c r="K11" s="24">
        <f t="shared" si="6"/>
        <v>40270</v>
      </c>
      <c r="L11" s="24">
        <f t="shared" si="6"/>
        <v>49390</v>
      </c>
      <c r="M11" s="24">
        <f t="shared" si="6"/>
        <v>65680</v>
      </c>
      <c r="N11" s="24">
        <f t="shared" si="6"/>
        <v>43780</v>
      </c>
      <c r="O11" s="24">
        <f t="shared" si="6"/>
        <v>59100</v>
      </c>
      <c r="P11" s="24">
        <f t="shared" si="6"/>
        <v>35240</v>
      </c>
      <c r="Q11" s="24">
        <f t="shared" si="6"/>
        <v>44360</v>
      </c>
      <c r="R11" s="24">
        <f t="shared" si="6"/>
        <v>64240</v>
      </c>
    </row>
    <row r="12" spans="2:18" x14ac:dyDescent="0.25"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</row>
    <row r="13" spans="2:18" x14ac:dyDescent="0.25"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</row>
    <row r="14" spans="2:18" x14ac:dyDescent="0.25">
      <c r="B14" s="23" t="s">
        <v>11</v>
      </c>
      <c r="D14" s="21"/>
      <c r="E14" s="21"/>
      <c r="F14" s="21"/>
      <c r="G14" s="26">
        <v>2023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</row>
    <row r="15" spans="2:18" x14ac:dyDescent="0.25">
      <c r="B15" s="19" t="s">
        <v>25</v>
      </c>
      <c r="D15" s="21">
        <f>+E4/1.5</f>
        <v>20000</v>
      </c>
      <c r="E15" s="21">
        <f>+F4/1.5</f>
        <v>25333.333333333332</v>
      </c>
      <c r="F15" s="21">
        <f>+G4/1.5</f>
        <v>26666.666666666668</v>
      </c>
      <c r="G15" s="21">
        <f>+H4/1.5</f>
        <v>30000</v>
      </c>
      <c r="H15" s="21">
        <f>+I4/1.5</f>
        <v>32000</v>
      </c>
      <c r="I15" s="21">
        <f>+J4/1.5</f>
        <v>23333.333333333332</v>
      </c>
      <c r="J15" s="21">
        <f>+K4/1.5</f>
        <v>26666.666666666668</v>
      </c>
      <c r="K15" s="21">
        <f>+L4/1.5</f>
        <v>34666.666666666664</v>
      </c>
      <c r="L15" s="21">
        <f>+M4/1.5</f>
        <v>46666.666666666664</v>
      </c>
      <c r="M15" s="21">
        <f>+N4/1.5</f>
        <v>26666.666666666668</v>
      </c>
      <c r="N15" s="21">
        <f>+O4/1.5</f>
        <v>40000</v>
      </c>
      <c r="O15" s="21">
        <f>+P4/1.5</f>
        <v>21333.333333333332</v>
      </c>
      <c r="P15" s="21">
        <f>+Q4/1.5</f>
        <v>29333.333333333332</v>
      </c>
      <c r="Q15" s="21">
        <f>+R4/1.5</f>
        <v>46666.666666666664</v>
      </c>
      <c r="R15" s="21">
        <f>+S4/1.5</f>
        <v>0</v>
      </c>
    </row>
    <row r="16" spans="2:18" s="5" customFormat="1" x14ac:dyDescent="0.25">
      <c r="B16" s="5" t="s">
        <v>13</v>
      </c>
      <c r="C16" s="16"/>
      <c r="D16" s="7"/>
      <c r="E16" s="7">
        <f>+D15</f>
        <v>20000</v>
      </c>
      <c r="F16" s="7">
        <f>+E15</f>
        <v>25333.333333333332</v>
      </c>
      <c r="G16" s="7">
        <f>+F15</f>
        <v>26666.666666666668</v>
      </c>
      <c r="H16" s="7">
        <f t="shared" ref="H16:R16" si="7">+G15</f>
        <v>30000</v>
      </c>
      <c r="I16" s="7">
        <f t="shared" si="7"/>
        <v>32000</v>
      </c>
      <c r="J16" s="7">
        <f t="shared" si="7"/>
        <v>23333.333333333332</v>
      </c>
      <c r="K16" s="7">
        <f t="shared" si="7"/>
        <v>26666.666666666668</v>
      </c>
      <c r="L16" s="7">
        <f t="shared" si="7"/>
        <v>34666.666666666664</v>
      </c>
      <c r="M16" s="7">
        <f t="shared" si="7"/>
        <v>46666.666666666664</v>
      </c>
      <c r="N16" s="7">
        <f t="shared" si="7"/>
        <v>26666.666666666668</v>
      </c>
      <c r="O16" s="7">
        <f t="shared" si="7"/>
        <v>40000</v>
      </c>
      <c r="P16" s="7">
        <f t="shared" si="7"/>
        <v>21333.333333333332</v>
      </c>
      <c r="Q16" s="7">
        <f t="shared" si="7"/>
        <v>29333.333333333332</v>
      </c>
      <c r="R16" s="7">
        <f t="shared" si="7"/>
        <v>46666.666666666664</v>
      </c>
    </row>
    <row r="17" spans="2:19" x14ac:dyDescent="0.25">
      <c r="B17" s="19" t="s">
        <v>26</v>
      </c>
      <c r="D17" s="21"/>
      <c r="E17" s="21"/>
      <c r="F17" s="21"/>
      <c r="G17" s="21"/>
      <c r="H17" s="21"/>
      <c r="I17" s="21"/>
      <c r="J17" s="21">
        <v>5000</v>
      </c>
      <c r="K17" s="21"/>
      <c r="L17" s="21"/>
      <c r="M17" s="21"/>
      <c r="N17" s="21"/>
      <c r="O17" s="21"/>
      <c r="P17" s="21"/>
      <c r="Q17" s="21"/>
      <c r="R17" s="21"/>
    </row>
    <row r="18" spans="2:19" s="5" customFormat="1" x14ac:dyDescent="0.25">
      <c r="B18" s="5" t="s">
        <v>27</v>
      </c>
      <c r="C18" s="16"/>
      <c r="D18" s="7"/>
      <c r="E18" s="7"/>
      <c r="F18" s="7"/>
      <c r="G18" s="7"/>
      <c r="H18" s="7"/>
      <c r="I18" s="7"/>
      <c r="J18" s="7"/>
      <c r="K18" s="7"/>
      <c r="L18" s="7">
        <v>5000</v>
      </c>
      <c r="M18" s="7"/>
      <c r="N18" s="7"/>
      <c r="O18" s="7"/>
      <c r="P18" s="7"/>
      <c r="Q18" s="7"/>
      <c r="R18" s="7"/>
    </row>
    <row r="19" spans="2:19" s="5" customFormat="1" x14ac:dyDescent="0.25">
      <c r="B19" s="5" t="s">
        <v>14</v>
      </c>
      <c r="C19" s="16"/>
      <c r="D19" s="7"/>
      <c r="E19" s="7"/>
      <c r="F19" s="7"/>
      <c r="G19" s="7">
        <v>8000</v>
      </c>
      <c r="H19" s="7">
        <v>8500</v>
      </c>
      <c r="I19" s="7">
        <v>8500</v>
      </c>
      <c r="J19" s="7">
        <v>9000</v>
      </c>
      <c r="K19" s="7">
        <v>8800</v>
      </c>
      <c r="L19" s="7">
        <v>8600</v>
      </c>
      <c r="M19" s="7">
        <v>16000</v>
      </c>
      <c r="N19" s="7">
        <v>8200</v>
      </c>
      <c r="O19" s="7">
        <v>8800</v>
      </c>
      <c r="P19" s="7">
        <v>7800</v>
      </c>
      <c r="Q19" s="7">
        <v>8400</v>
      </c>
      <c r="R19" s="7">
        <v>16000</v>
      </c>
    </row>
    <row r="20" spans="2:19" s="5" customFormat="1" x14ac:dyDescent="0.25">
      <c r="B20" s="5" t="s">
        <v>28</v>
      </c>
      <c r="C20" s="16"/>
      <c r="D20" s="7"/>
      <c r="E20" s="7"/>
      <c r="F20" s="7"/>
      <c r="G20" s="7"/>
      <c r="H20" s="7"/>
      <c r="I20" s="7">
        <v>2000</v>
      </c>
      <c r="J20" s="7"/>
      <c r="K20" s="7"/>
      <c r="L20" s="7">
        <v>2800</v>
      </c>
      <c r="M20" s="7"/>
      <c r="N20" s="7"/>
      <c r="O20" s="7"/>
      <c r="P20" s="7">
        <v>4000</v>
      </c>
      <c r="Q20" s="7"/>
      <c r="R20" s="7"/>
    </row>
    <row r="21" spans="2:19" s="5" customFormat="1" x14ac:dyDescent="0.25">
      <c r="B21" s="5" t="s">
        <v>16</v>
      </c>
      <c r="C21" s="16"/>
      <c r="D21" s="7"/>
      <c r="E21" s="7"/>
      <c r="F21" s="7"/>
      <c r="G21" s="7"/>
      <c r="H21" s="7"/>
      <c r="I21" s="7"/>
      <c r="J21" s="7">
        <v>2000</v>
      </c>
      <c r="K21" s="7"/>
      <c r="L21" s="7"/>
      <c r="M21" s="7"/>
      <c r="N21" s="7"/>
      <c r="O21" s="7"/>
      <c r="P21" s="7"/>
      <c r="Q21" s="7"/>
      <c r="R21" s="7"/>
    </row>
    <row r="22" spans="2:19" s="5" customFormat="1" x14ac:dyDescent="0.25">
      <c r="B22" s="5" t="s">
        <v>17</v>
      </c>
      <c r="C22" s="16"/>
      <c r="D22" s="7"/>
      <c r="E22" s="7"/>
      <c r="F22" s="7"/>
      <c r="G22" s="7">
        <v>1000</v>
      </c>
      <c r="H22" s="7">
        <f>+G22</f>
        <v>1000</v>
      </c>
      <c r="I22" s="7">
        <f t="shared" ref="I22:R22" si="8">+H22</f>
        <v>1000</v>
      </c>
      <c r="J22" s="7">
        <f t="shared" si="8"/>
        <v>1000</v>
      </c>
      <c r="K22" s="7">
        <f t="shared" si="8"/>
        <v>1000</v>
      </c>
      <c r="L22" s="7">
        <f t="shared" si="8"/>
        <v>1000</v>
      </c>
      <c r="M22" s="7">
        <f t="shared" si="8"/>
        <v>1000</v>
      </c>
      <c r="N22" s="7">
        <f t="shared" si="8"/>
        <v>1000</v>
      </c>
      <c r="O22" s="7">
        <f t="shared" si="8"/>
        <v>1000</v>
      </c>
      <c r="P22" s="7">
        <f t="shared" si="8"/>
        <v>1000</v>
      </c>
      <c r="Q22" s="7">
        <f t="shared" si="8"/>
        <v>1000</v>
      </c>
      <c r="R22" s="7">
        <f t="shared" si="8"/>
        <v>1000</v>
      </c>
    </row>
    <row r="23" spans="2:19" x14ac:dyDescent="0.25">
      <c r="B23" s="22" t="s">
        <v>10</v>
      </c>
      <c r="D23" s="24">
        <f t="shared" ref="D23:F23" si="9">+D16+D18+D19+D20+D21+D22</f>
        <v>0</v>
      </c>
      <c r="E23" s="24">
        <f t="shared" si="9"/>
        <v>20000</v>
      </c>
      <c r="F23" s="24">
        <f t="shared" si="9"/>
        <v>25333.333333333332</v>
      </c>
      <c r="G23" s="24">
        <f>+G16+G18+G19+G20+G21+G22</f>
        <v>35666.666666666672</v>
      </c>
      <c r="H23" s="24">
        <f t="shared" ref="H23:R23" si="10">+H16+H18+H19+H20+H21+H22</f>
        <v>39500</v>
      </c>
      <c r="I23" s="24">
        <f t="shared" si="10"/>
        <v>43500</v>
      </c>
      <c r="J23" s="24">
        <f t="shared" si="10"/>
        <v>35333.333333333328</v>
      </c>
      <c r="K23" s="24">
        <f t="shared" si="10"/>
        <v>36466.666666666672</v>
      </c>
      <c r="L23" s="24">
        <f t="shared" si="10"/>
        <v>52066.666666666664</v>
      </c>
      <c r="M23" s="24">
        <f t="shared" si="10"/>
        <v>63666.666666666664</v>
      </c>
      <c r="N23" s="24">
        <f t="shared" si="10"/>
        <v>35866.666666666672</v>
      </c>
      <c r="O23" s="24">
        <f t="shared" si="10"/>
        <v>49800</v>
      </c>
      <c r="P23" s="24">
        <f t="shared" si="10"/>
        <v>34133.333333333328</v>
      </c>
      <c r="Q23" s="24">
        <f t="shared" si="10"/>
        <v>38733.333333333328</v>
      </c>
      <c r="R23" s="24">
        <f t="shared" si="10"/>
        <v>63666.666666666664</v>
      </c>
    </row>
    <row r="24" spans="2:19" x14ac:dyDescent="0.25">
      <c r="B24" s="22"/>
      <c r="D24" s="21"/>
      <c r="E24" s="21"/>
      <c r="F24" s="21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  <row r="25" spans="2:19" x14ac:dyDescent="0.25">
      <c r="B25" s="22" t="s">
        <v>31</v>
      </c>
      <c r="D25" s="21"/>
      <c r="E25" s="21"/>
      <c r="F25" s="21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  <row r="26" spans="2:19" x14ac:dyDescent="0.25">
      <c r="B26" s="19" t="s">
        <v>1</v>
      </c>
      <c r="D26" s="21">
        <f>+D4*0.18</f>
        <v>4500</v>
      </c>
      <c r="E26" s="21">
        <f>+E4*0.18</f>
        <v>5400</v>
      </c>
      <c r="F26" s="21">
        <f>+F4*0.18</f>
        <v>6840</v>
      </c>
      <c r="G26" s="21">
        <f>+G4*0.18</f>
        <v>7200</v>
      </c>
      <c r="H26" s="21">
        <f>+H4*0.18</f>
        <v>8100</v>
      </c>
      <c r="I26" s="21">
        <f>+I4*0.18</f>
        <v>8640</v>
      </c>
      <c r="J26" s="21">
        <f>+J4*0.18</f>
        <v>6300</v>
      </c>
      <c r="K26" s="21">
        <f>+K4*0.18</f>
        <v>7200</v>
      </c>
      <c r="L26" s="21">
        <f>+L4*0.18</f>
        <v>9360</v>
      </c>
      <c r="M26" s="21">
        <f>+M4*0.18</f>
        <v>12600</v>
      </c>
      <c r="N26" s="21">
        <f>+N4*0.18</f>
        <v>7200</v>
      </c>
      <c r="O26" s="21">
        <f>+O4*0.18</f>
        <v>10800</v>
      </c>
      <c r="P26" s="21">
        <f>+P4*0.18</f>
        <v>5760</v>
      </c>
      <c r="Q26" s="21">
        <f>+Q4*0.18</f>
        <v>7920</v>
      </c>
      <c r="R26" s="21">
        <f>+R4*0.18</f>
        <v>12600</v>
      </c>
    </row>
    <row r="27" spans="2:19" x14ac:dyDescent="0.25">
      <c r="B27" s="19" t="s">
        <v>25</v>
      </c>
      <c r="D27" s="21">
        <f>+D15*0.18</f>
        <v>3600</v>
      </c>
      <c r="E27" s="21">
        <f>+E15*0.18</f>
        <v>4560</v>
      </c>
      <c r="F27" s="21">
        <f>+F15*0.18</f>
        <v>4800</v>
      </c>
      <c r="G27" s="21">
        <f>+G15*0.18</f>
        <v>5400</v>
      </c>
      <c r="H27" s="21">
        <f>+H15*0.18</f>
        <v>5760</v>
      </c>
      <c r="I27" s="21">
        <f>+I15*0.18</f>
        <v>4200</v>
      </c>
      <c r="J27" s="21">
        <f>(J15*0.18)+(J17*0.18)</f>
        <v>5700</v>
      </c>
      <c r="K27" s="21">
        <f>+K15*0.18</f>
        <v>6239.9999999999991</v>
      </c>
      <c r="L27" s="21">
        <f>+L15*0.18</f>
        <v>8400</v>
      </c>
      <c r="M27" s="21">
        <f>+M15*0.18</f>
        <v>4800</v>
      </c>
      <c r="N27" s="21">
        <f>+N15*0.18</f>
        <v>7200</v>
      </c>
      <c r="O27" s="21">
        <f>+O15*0.18</f>
        <v>3839.9999999999995</v>
      </c>
      <c r="P27" s="21">
        <f>+P15*0.18</f>
        <v>5280</v>
      </c>
      <c r="Q27" s="21">
        <f>+Q15*0.18</f>
        <v>8400</v>
      </c>
      <c r="R27" s="21">
        <f>+R15*0.18</f>
        <v>0</v>
      </c>
    </row>
    <row r="28" spans="2:19" x14ac:dyDescent="0.25">
      <c r="B28" s="19" t="s">
        <v>32</v>
      </c>
      <c r="D28" s="21">
        <f>+D26-D27</f>
        <v>900</v>
      </c>
      <c r="E28" s="21">
        <f t="shared" ref="E28:R28" si="11">+E26-E27</f>
        <v>840</v>
      </c>
      <c r="F28" s="21">
        <f t="shared" si="11"/>
        <v>2040</v>
      </c>
      <c r="G28" s="21">
        <f t="shared" si="11"/>
        <v>1800</v>
      </c>
      <c r="H28" s="21">
        <f t="shared" si="11"/>
        <v>2340</v>
      </c>
      <c r="I28" s="21">
        <f t="shared" si="11"/>
        <v>4440</v>
      </c>
      <c r="J28" s="21">
        <f t="shared" si="11"/>
        <v>600</v>
      </c>
      <c r="K28" s="21">
        <f t="shared" si="11"/>
        <v>960.00000000000091</v>
      </c>
      <c r="L28" s="21">
        <f t="shared" si="11"/>
        <v>960</v>
      </c>
      <c r="M28" s="21">
        <f t="shared" si="11"/>
        <v>7800</v>
      </c>
      <c r="N28" s="21">
        <f t="shared" si="11"/>
        <v>0</v>
      </c>
      <c r="O28" s="21">
        <f t="shared" si="11"/>
        <v>6960</v>
      </c>
      <c r="P28" s="21">
        <f t="shared" si="11"/>
        <v>480</v>
      </c>
      <c r="Q28" s="21">
        <f t="shared" si="11"/>
        <v>-480</v>
      </c>
      <c r="R28" s="21">
        <f t="shared" si="11"/>
        <v>12600</v>
      </c>
    </row>
    <row r="29" spans="2:19" x14ac:dyDescent="0.25">
      <c r="B29" s="19" t="s">
        <v>13</v>
      </c>
      <c r="D29" s="21"/>
      <c r="E29" s="21">
        <f>+D28</f>
        <v>900</v>
      </c>
      <c r="F29" s="21">
        <f>+E28</f>
        <v>840</v>
      </c>
      <c r="G29" s="24">
        <f>+F28</f>
        <v>2040</v>
      </c>
      <c r="H29" s="24">
        <f>+G28</f>
        <v>1800</v>
      </c>
      <c r="I29" s="24">
        <f>+H28</f>
        <v>2340</v>
      </c>
      <c r="J29" s="24">
        <f t="shared" ref="J29:M29" si="12">+I28</f>
        <v>4440</v>
      </c>
      <c r="K29" s="24">
        <f t="shared" si="12"/>
        <v>600</v>
      </c>
      <c r="L29" s="24">
        <f t="shared" si="12"/>
        <v>960.00000000000091</v>
      </c>
      <c r="M29" s="24">
        <f t="shared" si="12"/>
        <v>960</v>
      </c>
      <c r="N29" s="24">
        <f>+M28</f>
        <v>7800</v>
      </c>
      <c r="O29" s="24">
        <f>+N28</f>
        <v>0</v>
      </c>
      <c r="P29" s="24">
        <f>+O28</f>
        <v>6960</v>
      </c>
      <c r="Q29" s="24">
        <f>+P28</f>
        <v>480</v>
      </c>
      <c r="R29" s="24">
        <v>0</v>
      </c>
      <c r="S29" s="28"/>
    </row>
    <row r="30" spans="2:19" x14ac:dyDescent="0.25">
      <c r="B30" s="22"/>
      <c r="D30" s="21"/>
      <c r="E30" s="21"/>
      <c r="F30" s="21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</row>
    <row r="31" spans="2:19" x14ac:dyDescent="0.25"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</row>
    <row r="32" spans="2:19" x14ac:dyDescent="0.25">
      <c r="B32" s="22" t="s">
        <v>18</v>
      </c>
      <c r="D32" s="21"/>
      <c r="E32" s="21"/>
      <c r="F32" s="21"/>
      <c r="G32" s="26">
        <v>2023</v>
      </c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</row>
    <row r="33" spans="2:18" x14ac:dyDescent="0.25">
      <c r="B33" s="19" t="s">
        <v>29</v>
      </c>
      <c r="D33" s="21"/>
      <c r="E33" s="21"/>
      <c r="F33" s="21"/>
      <c r="G33" s="21">
        <v>8200</v>
      </c>
      <c r="H33" s="21">
        <f>+G38</f>
        <v>8413.3333333333285</v>
      </c>
      <c r="I33" s="21">
        <f t="shared" ref="I33:R33" si="13">+H38</f>
        <v>10033.333333333328</v>
      </c>
      <c r="J33" s="21">
        <f t="shared" si="13"/>
        <v>20203.333333333328</v>
      </c>
      <c r="K33" s="21">
        <f t="shared" si="13"/>
        <v>16500</v>
      </c>
      <c r="L33" s="21">
        <f t="shared" si="13"/>
        <v>18703.333333333328</v>
      </c>
      <c r="M33" s="21">
        <f t="shared" si="13"/>
        <v>14066.666666666664</v>
      </c>
      <c r="N33" s="21">
        <f t="shared" si="13"/>
        <v>14119.999999999993</v>
      </c>
      <c r="O33" s="21">
        <f t="shared" si="13"/>
        <v>13233.333333333321</v>
      </c>
      <c r="P33" s="21">
        <f t="shared" si="13"/>
        <v>21533.333333333314</v>
      </c>
      <c r="Q33" s="21">
        <f t="shared" si="13"/>
        <v>14679.999999999985</v>
      </c>
      <c r="R33" s="21">
        <f t="shared" si="13"/>
        <v>18826.666666666657</v>
      </c>
    </row>
    <row r="34" spans="2:18" x14ac:dyDescent="0.25">
      <c r="B34" s="19" t="s">
        <v>0</v>
      </c>
      <c r="D34" s="21"/>
      <c r="E34" s="21"/>
      <c r="F34" s="21"/>
      <c r="G34" s="21">
        <f>+G11</f>
        <v>38920</v>
      </c>
      <c r="H34" s="21">
        <f t="shared" ref="H34:R34" si="14">+H11</f>
        <v>43920</v>
      </c>
      <c r="I34" s="21">
        <f t="shared" si="14"/>
        <v>57010</v>
      </c>
      <c r="J34" s="21">
        <f t="shared" si="14"/>
        <v>37070</v>
      </c>
      <c r="K34" s="21">
        <f t="shared" si="14"/>
        <v>40270</v>
      </c>
      <c r="L34" s="21">
        <f t="shared" si="14"/>
        <v>49390</v>
      </c>
      <c r="M34" s="21">
        <f t="shared" si="14"/>
        <v>65680</v>
      </c>
      <c r="N34" s="21">
        <f t="shared" si="14"/>
        <v>43780</v>
      </c>
      <c r="O34" s="21">
        <f t="shared" si="14"/>
        <v>59100</v>
      </c>
      <c r="P34" s="21">
        <f t="shared" si="14"/>
        <v>35240</v>
      </c>
      <c r="Q34" s="21">
        <f t="shared" si="14"/>
        <v>44360</v>
      </c>
      <c r="R34" s="21">
        <f t="shared" si="14"/>
        <v>64240</v>
      </c>
    </row>
    <row r="35" spans="2:18" x14ac:dyDescent="0.25">
      <c r="B35" s="19" t="s">
        <v>11</v>
      </c>
      <c r="D35" s="21"/>
      <c r="E35" s="21"/>
      <c r="F35" s="21"/>
      <c r="G35" s="21">
        <f>+G23</f>
        <v>35666.666666666672</v>
      </c>
      <c r="H35" s="21">
        <f t="shared" ref="H35:R35" si="15">+H23</f>
        <v>39500</v>
      </c>
      <c r="I35" s="21">
        <f t="shared" si="15"/>
        <v>43500</v>
      </c>
      <c r="J35" s="21">
        <f t="shared" si="15"/>
        <v>35333.333333333328</v>
      </c>
      <c r="K35" s="21">
        <f t="shared" si="15"/>
        <v>36466.666666666672</v>
      </c>
      <c r="L35" s="21">
        <f t="shared" si="15"/>
        <v>52066.666666666664</v>
      </c>
      <c r="M35" s="21">
        <f t="shared" si="15"/>
        <v>63666.666666666664</v>
      </c>
      <c r="N35" s="21">
        <f t="shared" si="15"/>
        <v>35866.666666666672</v>
      </c>
      <c r="O35" s="21">
        <f t="shared" si="15"/>
        <v>49800</v>
      </c>
      <c r="P35" s="21">
        <f t="shared" si="15"/>
        <v>34133.333333333328</v>
      </c>
      <c r="Q35" s="21">
        <f t="shared" si="15"/>
        <v>38733.333333333328</v>
      </c>
      <c r="R35" s="21">
        <f t="shared" si="15"/>
        <v>63666.666666666664</v>
      </c>
    </row>
    <row r="36" spans="2:18" x14ac:dyDescent="0.25">
      <c r="B36" s="19" t="s">
        <v>31</v>
      </c>
      <c r="D36" s="21"/>
      <c r="E36" s="21"/>
      <c r="F36" s="21"/>
      <c r="G36" s="21">
        <f>+G29</f>
        <v>2040</v>
      </c>
      <c r="H36" s="21">
        <f t="shared" ref="H36:R36" si="16">+H29</f>
        <v>1800</v>
      </c>
      <c r="I36" s="21">
        <f t="shared" si="16"/>
        <v>2340</v>
      </c>
      <c r="J36" s="21">
        <f t="shared" si="16"/>
        <v>4440</v>
      </c>
      <c r="K36" s="21">
        <f t="shared" si="16"/>
        <v>600</v>
      </c>
      <c r="L36" s="21">
        <f t="shared" si="16"/>
        <v>960.00000000000091</v>
      </c>
      <c r="M36" s="21">
        <f t="shared" si="16"/>
        <v>960</v>
      </c>
      <c r="N36" s="21">
        <f t="shared" si="16"/>
        <v>7800</v>
      </c>
      <c r="O36" s="21">
        <f t="shared" si="16"/>
        <v>0</v>
      </c>
      <c r="P36" s="21">
        <f t="shared" si="16"/>
        <v>6960</v>
      </c>
      <c r="Q36" s="21">
        <f t="shared" si="16"/>
        <v>480</v>
      </c>
      <c r="R36" s="21">
        <f t="shared" si="16"/>
        <v>0</v>
      </c>
    </row>
    <row r="37" spans="2:18" x14ac:dyDescent="0.25">
      <c r="B37" s="19" t="s">
        <v>30</v>
      </c>
      <c r="D37" s="21"/>
      <c r="E37" s="21"/>
      <c r="F37" s="21"/>
      <c r="G37" s="21">
        <v>1000</v>
      </c>
      <c r="H37" s="21">
        <f>+G37</f>
        <v>1000</v>
      </c>
      <c r="I37" s="21">
        <f t="shared" ref="I37:R37" si="17">+H37</f>
        <v>1000</v>
      </c>
      <c r="J37" s="21">
        <f t="shared" si="17"/>
        <v>1000</v>
      </c>
      <c r="K37" s="21">
        <f t="shared" si="17"/>
        <v>1000</v>
      </c>
      <c r="L37" s="21">
        <f t="shared" si="17"/>
        <v>1000</v>
      </c>
      <c r="M37" s="21">
        <f t="shared" si="17"/>
        <v>1000</v>
      </c>
      <c r="N37" s="21">
        <f t="shared" si="17"/>
        <v>1000</v>
      </c>
      <c r="O37" s="21">
        <f t="shared" si="17"/>
        <v>1000</v>
      </c>
      <c r="P37" s="21">
        <f t="shared" si="17"/>
        <v>1000</v>
      </c>
      <c r="Q37" s="21">
        <f t="shared" si="17"/>
        <v>1000</v>
      </c>
      <c r="R37" s="21">
        <f t="shared" si="17"/>
        <v>1000</v>
      </c>
    </row>
    <row r="38" spans="2:18" s="22" customFormat="1" x14ac:dyDescent="0.25">
      <c r="B38" s="22" t="s">
        <v>23</v>
      </c>
      <c r="C38" s="23"/>
      <c r="D38" s="24"/>
      <c r="E38" s="24"/>
      <c r="F38" s="24"/>
      <c r="G38" s="24">
        <f>+G33+G34-G35-G36-G37</f>
        <v>8413.3333333333285</v>
      </c>
      <c r="H38" s="24">
        <f>+H33+H34-H35-H36-H37</f>
        <v>10033.333333333328</v>
      </c>
      <c r="I38" s="24">
        <f t="shared" ref="I38:R38" si="18">+I33+I34-I35-I36-I37</f>
        <v>20203.333333333328</v>
      </c>
      <c r="J38" s="24">
        <f t="shared" si="18"/>
        <v>16500</v>
      </c>
      <c r="K38" s="24">
        <f t="shared" si="18"/>
        <v>18703.333333333328</v>
      </c>
      <c r="L38" s="24">
        <f t="shared" si="18"/>
        <v>14066.666666666664</v>
      </c>
      <c r="M38" s="24">
        <f t="shared" si="18"/>
        <v>14119.999999999993</v>
      </c>
      <c r="N38" s="24">
        <f t="shared" si="18"/>
        <v>13233.333333333321</v>
      </c>
      <c r="O38" s="24">
        <f t="shared" si="18"/>
        <v>21533.333333333314</v>
      </c>
      <c r="P38" s="24">
        <f t="shared" si="18"/>
        <v>14679.999999999985</v>
      </c>
      <c r="Q38" s="24">
        <f t="shared" si="18"/>
        <v>18826.666666666657</v>
      </c>
      <c r="R38" s="24">
        <f t="shared" si="18"/>
        <v>18399.999999999993</v>
      </c>
    </row>
    <row r="39" spans="2:18" x14ac:dyDescent="0.25"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</row>
    <row r="40" spans="2:18" x14ac:dyDescent="0.25">
      <c r="F40" s="19" t="s">
        <v>36</v>
      </c>
      <c r="H40" s="19" t="s">
        <v>37</v>
      </c>
      <c r="K40" s="20"/>
      <c r="N40" s="19" t="s">
        <v>36</v>
      </c>
      <c r="P40" s="19" t="s">
        <v>37</v>
      </c>
    </row>
    <row r="41" spans="2:18" x14ac:dyDescent="0.25">
      <c r="B41" s="19" t="s">
        <v>33</v>
      </c>
      <c r="D41" s="19" t="s">
        <v>35</v>
      </c>
      <c r="F41" s="19">
        <v>0</v>
      </c>
      <c r="H41" s="28">
        <f>+F44</f>
        <v>9540</v>
      </c>
      <c r="J41" s="19" t="s">
        <v>38</v>
      </c>
      <c r="K41" s="20"/>
      <c r="L41" s="19" t="s">
        <v>35</v>
      </c>
      <c r="N41" s="19">
        <v>0</v>
      </c>
      <c r="P41" s="28">
        <f>+N44</f>
        <v>26666.666666666672</v>
      </c>
    </row>
    <row r="42" spans="2:18" x14ac:dyDescent="0.25">
      <c r="D42" s="19" t="s">
        <v>1</v>
      </c>
      <c r="F42" s="28">
        <f>+D4+E4+F4</f>
        <v>93000</v>
      </c>
      <c r="H42" s="28">
        <f>SUM(G4:R4)</f>
        <v>576000</v>
      </c>
      <c r="K42" s="20"/>
      <c r="L42" s="19" t="s">
        <v>25</v>
      </c>
      <c r="N42" s="28">
        <f>+D15+E15+F15</f>
        <v>72000</v>
      </c>
      <c r="P42" s="28">
        <f>SUM(G15:R15)</f>
        <v>357333.33333333331</v>
      </c>
    </row>
    <row r="43" spans="2:18" x14ac:dyDescent="0.25">
      <c r="D43" s="19" t="s">
        <v>34</v>
      </c>
      <c r="F43" s="28">
        <f>+D5+E5+F5+D7+E7+E8+F7+F8+F9</f>
        <v>83460</v>
      </c>
      <c r="H43" s="28">
        <f>(SUM(G5:R5))+(SUM(G7:R9))</f>
        <v>568980</v>
      </c>
      <c r="K43" s="20"/>
      <c r="L43" s="19" t="s">
        <v>39</v>
      </c>
      <c r="N43" s="28">
        <f>+E16+F16</f>
        <v>45333.333333333328</v>
      </c>
      <c r="P43" s="28">
        <f>SUM(G16:R16)</f>
        <v>383999.99999999994</v>
      </c>
    </row>
    <row r="44" spans="2:18" x14ac:dyDescent="0.25">
      <c r="D44" s="19" t="s">
        <v>40</v>
      </c>
      <c r="F44" s="29">
        <f>+F41+F42-F43</f>
        <v>9540</v>
      </c>
      <c r="H44" s="29">
        <f>+H41+H42-H43</f>
        <v>16560</v>
      </c>
      <c r="K44" s="20"/>
      <c r="L44" s="19" t="s">
        <v>41</v>
      </c>
      <c r="N44" s="29">
        <f>+N41+N42-N43</f>
        <v>26666.666666666672</v>
      </c>
      <c r="P44" s="29">
        <f>+P41+P42-P43</f>
        <v>0</v>
      </c>
    </row>
  </sheetData>
  <mergeCells count="4">
    <mergeCell ref="D2:F2"/>
    <mergeCell ref="G2:R2"/>
    <mergeCell ref="G14:R14"/>
    <mergeCell ref="G32:R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C755F-8A4F-4C23-A40A-DFDB99910FEF}">
  <dimension ref="A1"/>
  <sheetViews>
    <sheetView workbookViewId="0">
      <selection activeCell="D33" sqref="D33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Profesor</dc:creator>
  <cp:lastModifiedBy>Profesor</cp:lastModifiedBy>
  <dcterms:created xsi:type="dcterms:W3CDTF">2026-01-21T22:05:12Z</dcterms:created>
  <dcterms:modified xsi:type="dcterms:W3CDTF">2026-01-22T20:40:43Z</dcterms:modified>
</cp:coreProperties>
</file>